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2.xml" ContentType="application/vnd.openxmlformats-officedocument.drawingml.chart+xml"/>
  <Override PartName="/xl/drawings/drawing7.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8.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drawings/drawing10.xml" ContentType="application/vnd.openxmlformats-officedocument.drawing+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date1904="1" codeName="ThisWorkbook"/>
  <mc:AlternateContent xmlns:mc="http://schemas.openxmlformats.org/markup-compatibility/2006">
    <mc:Choice Requires="x15">
      <x15ac:absPath xmlns:x15ac="http://schemas.microsoft.com/office/spreadsheetml/2010/11/ac" url="C:\Users\user\Downloads\1117\"/>
    </mc:Choice>
  </mc:AlternateContent>
  <xr:revisionPtr revIDLastSave="0" documentId="13_ncr:1_{CACDFA31-478E-48E4-AD83-9332DF0A8AAF}" xr6:coauthVersionLast="47" xr6:coauthVersionMax="47" xr10:uidLastSave="{00000000-0000-0000-0000-000000000000}"/>
  <bookViews>
    <workbookView xWindow="1860" yWindow="1860" windowWidth="15375" windowHeight="7785" tabRatio="455" firstSheet="3" activeTab="3" xr2:uid="{00000000-000D-0000-FFFF-FFFF00000000}"/>
  </bookViews>
  <sheets>
    <sheet name="手順書" sheetId="5" state="hidden" r:id="rId1"/>
    <sheet name="Sheet1" sheetId="31" r:id="rId2"/>
    <sheet name="データ" sheetId="26" r:id="rId3"/>
    <sheet name="データ２" sheetId="28" r:id="rId4"/>
    <sheet name="データ (2)" sheetId="30" state="hidden" r:id="rId5"/>
    <sheet name="元データ" sheetId="19" r:id="rId6"/>
    <sheet name="Igen" sheetId="17" r:id="rId7"/>
    <sheet name="Roto" sheetId="24" r:id="rId8"/>
    <sheet name="Roto_C" sheetId="25" r:id="rId9"/>
    <sheet name="X軸" sheetId="6" r:id="rId10"/>
    <sheet name="Y軸" sheetId="7" r:id="rId11"/>
    <sheet name="R_cat" sheetId="15" r:id="rId12"/>
    <sheet name="R_case" sheetId="16" r:id="rId13"/>
  </sheets>
  <definedNames>
    <definedName name="_xlchart.v1.0" hidden="1">データ!$B$3:$AV$3</definedName>
    <definedName name="_xlchart.v1.1" hidden="1">データ!$B$3:$AV$3</definedName>
    <definedName name="_xlchart.v1.2" hidden="1">データ!$B$7:$AB$7</definedName>
    <definedName name="_xlchart.v1.3" hidden="1">データ!$B$7:$AC$7</definedName>
    <definedName name="_xlchart.v1.4" hidden="1">データ!$A$3</definedName>
    <definedName name="_xlchart.v1.5" hidden="1">データ!$B$3:$AV$3</definedName>
    <definedName name="_xlchart.v1.6" hidden="1">データ!$B$7:$AB$7</definedName>
    <definedName name="_xlchart.v1.7" hidden="1">データ!$B$7:$AC$7</definedName>
    <definedName name="_xlchart.v1.8" hidden="1">データ!$B$7:$AB$7</definedName>
    <definedName name="_xlchart.v1.9" hidden="1">データ!$B$7:$AC$7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28" l="1"/>
  <c r="B25" i="28"/>
  <c r="C25" i="28"/>
  <c r="D25" i="28"/>
  <c r="E25" i="28"/>
  <c r="F25" i="28"/>
  <c r="G25" i="28"/>
  <c r="H25" i="28"/>
  <c r="B26" i="28"/>
  <c r="C26" i="28"/>
  <c r="D26" i="28"/>
  <c r="E26" i="28"/>
  <c r="F26" i="28"/>
  <c r="G26" i="28"/>
  <c r="H26" i="28"/>
  <c r="B27" i="28"/>
  <c r="C27" i="28"/>
  <c r="D27" i="28"/>
  <c r="E27" i="28"/>
  <c r="F27" i="28"/>
  <c r="G27" i="28"/>
  <c r="H27" i="28"/>
  <c r="B28" i="28"/>
  <c r="C28" i="28"/>
  <c r="D28" i="28"/>
  <c r="E28" i="28"/>
  <c r="F28" i="28"/>
  <c r="G28" i="28"/>
  <c r="H28" i="28"/>
  <c r="B29" i="28"/>
  <c r="C29" i="28"/>
  <c r="D29" i="28"/>
  <c r="E29" i="28"/>
  <c r="F29" i="28"/>
  <c r="G29" i="28"/>
  <c r="H29" i="28"/>
  <c r="B30" i="28"/>
  <c r="C30" i="28"/>
  <c r="D30" i="28"/>
  <c r="E30" i="28"/>
  <c r="F30" i="28"/>
  <c r="G30" i="28"/>
  <c r="H30" i="28"/>
  <c r="B31" i="28"/>
  <c r="C31" i="28"/>
  <c r="D31" i="28"/>
  <c r="E31" i="28"/>
  <c r="F31" i="28"/>
  <c r="G31" i="28"/>
  <c r="H31" i="28"/>
  <c r="B32" i="28"/>
  <c r="C32" i="28"/>
  <c r="D32" i="28"/>
  <c r="E32" i="28"/>
  <c r="F32" i="28"/>
  <c r="G32" i="28"/>
  <c r="H32" i="28"/>
  <c r="B33" i="28"/>
  <c r="C33" i="28"/>
  <c r="D33" i="28"/>
  <c r="E33" i="28"/>
  <c r="F33" i="28"/>
  <c r="G33" i="28"/>
  <c r="H33" i="28"/>
  <c r="B34" i="28"/>
  <c r="C34" i="28"/>
  <c r="D34" i="28"/>
  <c r="E34" i="28"/>
  <c r="F34" i="28"/>
  <c r="G34" i="28"/>
  <c r="H34" i="28"/>
  <c r="B35" i="28"/>
  <c r="C35" i="28"/>
  <c r="D35" i="28"/>
  <c r="E35" i="28"/>
  <c r="F35" i="28"/>
  <c r="G35" i="28"/>
  <c r="H35" i="28"/>
  <c r="C24" i="28"/>
  <c r="D24" i="28"/>
  <c r="E24" i="28"/>
  <c r="F24" i="28"/>
  <c r="G24" i="28"/>
  <c r="H24" i="28"/>
  <c r="C16" i="28"/>
  <c r="D16" i="28"/>
  <c r="E16" i="28"/>
  <c r="F16" i="28"/>
  <c r="G16" i="28"/>
  <c r="H16" i="28"/>
  <c r="C17" i="28"/>
  <c r="D17" i="28"/>
  <c r="E17" i="28"/>
  <c r="F17" i="28"/>
  <c r="G17" i="28"/>
  <c r="H17" i="28"/>
  <c r="B17" i="28"/>
  <c r="B16" i="28"/>
  <c r="E19" i="28"/>
  <c r="H8" i="31"/>
  <c r="G7" i="31"/>
  <c r="F6" i="31"/>
  <c r="E5" i="31"/>
  <c r="D4" i="31"/>
  <c r="C3" i="31"/>
  <c r="B2" i="31"/>
  <c r="H17" i="30" l="1"/>
  <c r="H28" i="30" s="1"/>
  <c r="G17" i="30"/>
  <c r="G35" i="30" s="1"/>
  <c r="F17" i="30"/>
  <c r="F34" i="30" s="1"/>
  <c r="E17" i="30"/>
  <c r="E33" i="30" s="1"/>
  <c r="D17" i="30"/>
  <c r="C17" i="30"/>
  <c r="B17" i="30"/>
  <c r="H16" i="30"/>
  <c r="H35" i="30" s="1"/>
  <c r="G16" i="30"/>
  <c r="G34" i="30" s="1"/>
  <c r="F16" i="30"/>
  <c r="F33" i="30" s="1"/>
  <c r="E16" i="30"/>
  <c r="E32" i="30" s="1"/>
  <c r="D16" i="30"/>
  <c r="D31" i="30" s="1"/>
  <c r="C16" i="30"/>
  <c r="C30" i="30" s="1"/>
  <c r="B16" i="30"/>
  <c r="B29" i="30" s="1"/>
  <c r="AC11" i="24"/>
  <c r="AB11" i="24"/>
  <c r="Y11" i="24"/>
  <c r="X11" i="24"/>
  <c r="AC10" i="24"/>
  <c r="AB10" i="24"/>
  <c r="Y10" i="24"/>
  <c r="X10" i="24"/>
  <c r="AC9" i="24"/>
  <c r="AB9" i="24"/>
  <c r="Y9" i="24"/>
  <c r="X9" i="24"/>
  <c r="AC8" i="24"/>
  <c r="AB8" i="24"/>
  <c r="Y8" i="24"/>
  <c r="X8" i="24"/>
  <c r="AC7" i="24"/>
  <c r="AB7" i="24"/>
  <c r="Y7" i="24"/>
  <c r="X7" i="24"/>
  <c r="AC6" i="24"/>
  <c r="AB6" i="24"/>
  <c r="Y6" i="24"/>
  <c r="X6" i="24"/>
  <c r="Y5" i="24"/>
  <c r="X5" i="24"/>
  <c r="AC5" i="24"/>
  <c r="AB5" i="24"/>
  <c r="AC16" i="25"/>
  <c r="AB16" i="25"/>
  <c r="Y16" i="25"/>
  <c r="X16" i="25"/>
  <c r="AC15" i="25"/>
  <c r="AB15" i="25"/>
  <c r="Y15" i="25"/>
  <c r="X15" i="25"/>
  <c r="AC14" i="25"/>
  <c r="AB14" i="25"/>
  <c r="Y14" i="25"/>
  <c r="X14" i="25"/>
  <c r="AC13" i="25"/>
  <c r="AB13" i="25"/>
  <c r="Y13" i="25"/>
  <c r="X13" i="25"/>
  <c r="AC12" i="25"/>
  <c r="AB12" i="25"/>
  <c r="Y12" i="25"/>
  <c r="X12" i="25"/>
  <c r="AC11" i="25"/>
  <c r="AB11" i="25"/>
  <c r="Y11" i="25"/>
  <c r="X11" i="25"/>
  <c r="AC10" i="25"/>
  <c r="AB10" i="25"/>
  <c r="Y10" i="25"/>
  <c r="X10" i="25"/>
  <c r="AC9" i="25"/>
  <c r="AB9" i="25"/>
  <c r="Y9" i="25"/>
  <c r="X9" i="25"/>
  <c r="AC8" i="25"/>
  <c r="AB8" i="25"/>
  <c r="Y8" i="25"/>
  <c r="X8" i="25"/>
  <c r="AC7" i="25"/>
  <c r="AB7" i="25"/>
  <c r="Y7" i="25"/>
  <c r="X7" i="25"/>
  <c r="AC6" i="25"/>
  <c r="AB6" i="25"/>
  <c r="Y6" i="25"/>
  <c r="X6" i="25"/>
  <c r="Y5" i="25"/>
  <c r="X5" i="25"/>
  <c r="AC5" i="25"/>
  <c r="AB5" i="25"/>
  <c r="F1" i="6"/>
  <c r="F2" i="6" s="1"/>
  <c r="A1" i="7"/>
  <c r="A2" i="7" s="1"/>
  <c r="C5" i="17"/>
  <c r="C4" i="17"/>
  <c r="F17" i="17"/>
  <c r="F16" i="17"/>
  <c r="F15" i="17"/>
  <c r="F14" i="17"/>
  <c r="F13" i="17"/>
  <c r="F12" i="17"/>
  <c r="F11" i="17"/>
  <c r="D5" i="19"/>
  <c r="D4" i="19"/>
  <c r="G11" i="19"/>
  <c r="G12" i="19" s="1"/>
  <c r="G13" i="19" s="1"/>
  <c r="G14" i="19" s="1"/>
  <c r="G15" i="19" s="1"/>
  <c r="G16" i="19" s="1"/>
  <c r="G17" i="19" s="1"/>
  <c r="G18" i="19" s="1"/>
  <c r="G19" i="19" s="1"/>
  <c r="G20" i="19" s="1"/>
  <c r="G10" i="19"/>
  <c r="K7" i="19"/>
  <c r="L7" i="19" s="1"/>
  <c r="M7" i="19" s="1"/>
  <c r="N7" i="19" s="1"/>
  <c r="O7" i="19" s="1"/>
  <c r="O6" i="19"/>
  <c r="N6" i="19"/>
  <c r="M6" i="19"/>
  <c r="L6" i="19"/>
  <c r="K6" i="19"/>
  <c r="J7" i="19"/>
  <c r="J6" i="19"/>
  <c r="I6" i="19"/>
  <c r="G24" i="30" l="1"/>
  <c r="H25" i="30"/>
  <c r="B27" i="30"/>
  <c r="C28" i="30"/>
  <c r="D29" i="30"/>
  <c r="E30" i="30"/>
  <c r="F31" i="30"/>
  <c r="G32" i="30"/>
  <c r="H33" i="30"/>
  <c r="B35" i="30"/>
  <c r="H24" i="30"/>
  <c r="B26" i="30"/>
  <c r="C27" i="30"/>
  <c r="D28" i="30"/>
  <c r="E29" i="30"/>
  <c r="F30" i="30"/>
  <c r="G31" i="30"/>
  <c r="H32" i="30"/>
  <c r="B34" i="30"/>
  <c r="C35" i="30"/>
  <c r="B25" i="30"/>
  <c r="C26" i="30"/>
  <c r="D27" i="30"/>
  <c r="E28" i="30"/>
  <c r="F29" i="30"/>
  <c r="G30" i="30"/>
  <c r="H31" i="30"/>
  <c r="B33" i="30"/>
  <c r="C34" i="30"/>
  <c r="D35" i="30"/>
  <c r="F24" i="30"/>
  <c r="G25" i="30"/>
  <c r="H26" i="30"/>
  <c r="B28" i="30"/>
  <c r="C29" i="30"/>
  <c r="D30" i="30"/>
  <c r="E31" i="30"/>
  <c r="F32" i="30"/>
  <c r="G33" i="30"/>
  <c r="H34" i="30"/>
  <c r="B24" i="30"/>
  <c r="C25" i="30"/>
  <c r="D26" i="30"/>
  <c r="E27" i="30"/>
  <c r="F28" i="30"/>
  <c r="G29" i="30"/>
  <c r="H30" i="30"/>
  <c r="B32" i="30"/>
  <c r="C33" i="30"/>
  <c r="D34" i="30"/>
  <c r="E35" i="30"/>
  <c r="C24" i="30"/>
  <c r="D25" i="30"/>
  <c r="E26" i="30"/>
  <c r="F27" i="30"/>
  <c r="G28" i="30"/>
  <c r="H29" i="30"/>
  <c r="B31" i="30"/>
  <c r="C32" i="30"/>
  <c r="D33" i="30"/>
  <c r="E34" i="30"/>
  <c r="F35" i="30"/>
  <c r="D24" i="30"/>
  <c r="E25" i="30"/>
  <c r="F26" i="30"/>
  <c r="G27" i="30"/>
  <c r="B30" i="30"/>
  <c r="C31" i="30"/>
  <c r="D32" i="30"/>
  <c r="E24" i="30"/>
  <c r="F25" i="30"/>
  <c r="G26" i="30"/>
  <c r="H27" i="30"/>
  <c r="L5" i="19"/>
  <c r="AE3" i="24"/>
  <c r="AD3" i="24"/>
  <c r="AE4" i="24"/>
  <c r="AD4" i="24"/>
  <c r="X1" i="24"/>
  <c r="Z7" i="24" s="1"/>
  <c r="Y1" i="24"/>
  <c r="AA6" i="24" s="1"/>
  <c r="AE4" i="25"/>
  <c r="Y1" i="25"/>
  <c r="AA16" i="25" s="1"/>
  <c r="Z8" i="25"/>
  <c r="AD3" i="25"/>
  <c r="X1" i="25"/>
  <c r="Z7" i="25" s="1"/>
  <c r="AD4" i="25"/>
  <c r="AE3" i="25"/>
  <c r="A1" i="6"/>
  <c r="A2" i="6" s="1"/>
  <c r="F1" i="7"/>
  <c r="F2" i="7"/>
  <c r="K5" i="19"/>
  <c r="M5" i="19"/>
  <c r="N5" i="19"/>
  <c r="I5" i="19"/>
  <c r="O5" i="19"/>
  <c r="J5" i="19"/>
  <c r="Z11" i="24" l="1"/>
  <c r="AA9" i="24"/>
  <c r="AA7" i="24"/>
  <c r="AA10" i="24"/>
  <c r="AD8" i="24"/>
  <c r="AE8" i="25"/>
  <c r="AD10" i="24"/>
  <c r="AE5" i="24"/>
  <c r="AE8" i="24"/>
  <c r="AE10" i="24"/>
  <c r="R7" i="24"/>
  <c r="AA8" i="24"/>
  <c r="AA5" i="24"/>
  <c r="R5" i="24" s="1"/>
  <c r="Z8" i="24"/>
  <c r="Z5" i="24"/>
  <c r="Z9" i="24"/>
  <c r="R9" i="24" s="1"/>
  <c r="Z10" i="24"/>
  <c r="R10" i="24" s="1"/>
  <c r="Z6" i="24"/>
  <c r="R6" i="24" s="1"/>
  <c r="AE6" i="24"/>
  <c r="AE7" i="24"/>
  <c r="R11" i="24"/>
  <c r="AD9" i="24"/>
  <c r="AD5" i="24"/>
  <c r="AD6" i="24"/>
  <c r="AD11" i="24"/>
  <c r="AE11" i="24"/>
  <c r="AD7" i="24"/>
  <c r="AA11" i="24"/>
  <c r="AE9" i="24"/>
  <c r="AA14" i="25"/>
  <c r="AA12" i="25"/>
  <c r="AA8" i="25"/>
  <c r="R8" i="25" s="1"/>
  <c r="AA5" i="25"/>
  <c r="AA6" i="25"/>
  <c r="AA10" i="25"/>
  <c r="R10" i="25" s="1"/>
  <c r="AA7" i="25"/>
  <c r="R7" i="25" s="1"/>
  <c r="Z6" i="25"/>
  <c r="R6" i="25" s="1"/>
  <c r="AA11" i="25"/>
  <c r="AA13" i="25"/>
  <c r="AD12" i="25"/>
  <c r="Z16" i="25"/>
  <c r="R16" i="25" s="1"/>
  <c r="AA15" i="25"/>
  <c r="AA9" i="25"/>
  <c r="Z15" i="25"/>
  <c r="Z10" i="25"/>
  <c r="Z9" i="25"/>
  <c r="AE13" i="25"/>
  <c r="AD11" i="25"/>
  <c r="AE9" i="25"/>
  <c r="AE6" i="25"/>
  <c r="AE15" i="25"/>
  <c r="AE16" i="25"/>
  <c r="AE7" i="25"/>
  <c r="AE14" i="25"/>
  <c r="AE12" i="25"/>
  <c r="R15" i="25"/>
  <c r="AD6" i="25"/>
  <c r="AE11" i="25"/>
  <c r="AE10" i="25"/>
  <c r="AD10" i="25"/>
  <c r="AE5" i="25"/>
  <c r="AD14" i="25"/>
  <c r="AD5" i="25"/>
  <c r="AD16" i="25"/>
  <c r="AD8" i="25"/>
  <c r="AD15" i="25"/>
  <c r="AD7" i="25"/>
  <c r="AD9" i="25"/>
  <c r="AD13" i="25"/>
  <c r="Z12" i="25"/>
  <c r="Z11" i="25"/>
  <c r="R11" i="25" s="1"/>
  <c r="Z5" i="25"/>
  <c r="R5" i="25" s="1"/>
  <c r="Z14" i="25"/>
  <c r="Z13" i="25"/>
  <c r="R8" i="24" l="1"/>
  <c r="R9" i="25"/>
  <c r="R13" i="25"/>
  <c r="R14" i="25"/>
  <c r="R12"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松江市教育委員会</author>
    <author>OKO</author>
  </authors>
  <commentList>
    <comment ref="B5" authorId="0" shapeId="0" xr:uid="{00000000-0006-0000-0000-000001000000}">
      <text>
        <r>
          <rPr>
            <sz val="10"/>
            <color indexed="81"/>
            <rFont val="ＭＳ Ｐゴシック"/>
            <family val="3"/>
            <charset val="128"/>
          </rPr>
          <t>　主成分分析とは、数量データを用いた外的基準の無い多変量解析の手法。変数どうしの類似性を距離に置き換え、多変量の持つ情報を要約する「視座」を見出す方法。
　外的基準のない定性的データ（カテゴリカルデータ）が得られている場合は、数量化Ⅲ類を用いると良い。</t>
        </r>
      </text>
    </comment>
    <comment ref="E5" authorId="1" shapeId="0" xr:uid="{00000000-0006-0000-0000-000002000000}">
      <text>
        <r>
          <rPr>
            <sz val="9"/>
            <color indexed="81"/>
            <rFont val="ＭＳ Ｐゴシック"/>
            <family val="3"/>
            <charset val="128"/>
          </rPr>
          <t xml:space="preserve"> 外的基準（目的変数、従属変数）のない複数の独立変数についての量的データ（測定データや得点化されたデータ）を対象にして、多変量解析を行います。
　カテゴリカルデータが混在していても構いません。ただし、全体が完全に１，０で表されるカテゴリカルデータ（定性的データ）で構成されている場合は数量化Ⅲ類を利用すると良いでしょう。</t>
        </r>
      </text>
    </comment>
    <comment ref="B6" authorId="0" shapeId="0" xr:uid="{00000000-0006-0000-0000-000003000000}">
      <text>
        <r>
          <rPr>
            <sz val="10"/>
            <color indexed="81"/>
            <rFont val="ＭＳ Ｐゴシック"/>
            <family val="3"/>
            <charset val="128"/>
          </rPr>
          <t xml:space="preserve">（１）行列計算を行い、回答のパターンの類似性を自動的に分析します。
</t>
        </r>
        <r>
          <rPr>
            <sz val="10"/>
            <color indexed="48"/>
            <rFont val="ＭＳ Ｐゴシック"/>
            <family val="3"/>
            <charset val="128"/>
          </rPr>
          <t>（２）引き続いて、固有値（相関係数の自乗）の大きい順に第１主成分と第２主成分を選択し、</t>
        </r>
        <r>
          <rPr>
            <sz val="10"/>
            <color indexed="81"/>
            <rFont val="ＭＳ Ｐゴシック"/>
            <family val="3"/>
            <charset val="128"/>
          </rPr>
          <t xml:space="preserve">
（３）最大固有値によるベクトル値をX軸上（左右）に、次の固有値によるベクトル値をY軸上（上下）に配置し、
</t>
        </r>
        <r>
          <rPr>
            <sz val="10"/>
            <color indexed="48"/>
            <rFont val="ＭＳ Ｐゴシック"/>
            <family val="3"/>
            <charset val="128"/>
          </rPr>
          <t>（４）カテゴリーの類似性とケースの類似性を２次元に表示したグラフをそれぞれ作成します。</t>
        </r>
      </text>
    </comment>
    <comment ref="E6" authorId="1" shapeId="0" xr:uid="{00000000-0006-0000-0000-000004000000}">
      <text>
        <r>
          <rPr>
            <sz val="9"/>
            <color indexed="81"/>
            <rFont val="ＭＳ Ｐゴシック"/>
            <family val="3"/>
            <charset val="128"/>
          </rPr>
          <t>◎　一般に第１主成分と第２主成分の間に断層がある。
　第１主成分の固有値は他に比べて大きく、寄与率も高い。それだけを解釈すれば満足できることも多い。
　実践的には第２主成分も解釈することが多い。
　第３主成分以下は、固有値も小さく、たいていの場合、見捨ててもよい。</t>
        </r>
      </text>
    </comment>
    <comment ref="B7" authorId="0" shapeId="0" xr:uid="{00000000-0006-0000-0000-000005000000}">
      <text>
        <r>
          <rPr>
            <sz val="10"/>
            <color indexed="81"/>
            <rFont val="ＭＳ Ｐゴシック"/>
            <family val="3"/>
            <charset val="128"/>
          </rPr>
          <t xml:space="preserve">　多変量解析を実行すると、数学的モデルによる解析計算の結果を得ることができますが、その「意味」や「価値」は、計算内容と調査内容の両方を熟知した複数の人々によって解釈・協議されなければなりません。
</t>
        </r>
        <r>
          <rPr>
            <sz val="10"/>
            <color indexed="48"/>
            <rFont val="ＭＳ Ｐゴシック"/>
            <family val="3"/>
            <charset val="128"/>
          </rPr>
          <t>　数学的には自動的な言語コメントが得られることはありませんし、誰か一人だけの解釈を鵜呑みにすることもできません。また、多変量解析の専門家、調査者のいずれか一方の意見に偏ることも危険です。</t>
        </r>
        <r>
          <rPr>
            <sz val="10"/>
            <color indexed="81"/>
            <rFont val="ＭＳ Ｐゴシック"/>
            <family val="3"/>
            <charset val="128"/>
          </rPr>
          <t xml:space="preserve">
　このブックでは固有値によってカテゴリーとケースを並べ替え、解釈の論点が浮き彫りになるように工夫し、より納得性の高い結論が得られるように工夫しています。
　解釈に当たっては、数値データを視覚化した散布図が役に立ちます。協議する際にも、グラフを共有議題にすることが効果的です。
</t>
        </r>
        <r>
          <rPr>
            <sz val="10"/>
            <color indexed="48"/>
            <rFont val="ＭＳ Ｐゴシック"/>
            <family val="3"/>
            <charset val="128"/>
          </rPr>
          <t>　このシステムではRoto回転法を採用し、視覚的に捉えることのできるグラフ回転表示機能を付け加えて、ヒューマン・インタフェース性を高めています。</t>
        </r>
        <r>
          <rPr>
            <sz val="10"/>
            <color indexed="81"/>
            <rFont val="ＭＳ Ｐゴシック"/>
            <family val="3"/>
            <charset val="128"/>
          </rPr>
          <t xml:space="preserve">
</t>
        </r>
      </text>
    </comment>
    <comment ref="E7" authorId="0" shapeId="0" xr:uid="{00000000-0006-0000-0000-000006000000}">
      <text>
        <r>
          <rPr>
            <sz val="10"/>
            <color indexed="81"/>
            <rFont val="ＭＳ Ｐゴシック"/>
            <family val="3"/>
            <charset val="128"/>
          </rPr>
          <t xml:space="preserve">◎　最初に、カテゴリースコアについて主成分（軸）の意味を解釈する。
</t>
        </r>
        <r>
          <rPr>
            <sz val="10"/>
            <color indexed="48"/>
            <rFont val="ＭＳ Ｐゴシック"/>
            <family val="3"/>
            <charset val="128"/>
          </rPr>
          <t xml:space="preserve">　（１）第１主成分（X軸）優先、特にトップ10、ボトム10に着目する。
　（２）次に、第２主成分（Y軸）についても、同様に解釈する。
　※　軸の両極は対立する価値を表す。
</t>
        </r>
      </text>
    </comment>
    <comment ref="B8" authorId="0" shapeId="0" xr:uid="{00000000-0006-0000-0000-000007000000}">
      <text>
        <r>
          <rPr>
            <sz val="10"/>
            <color indexed="81"/>
            <rFont val="ＭＳ Ｐゴシック"/>
            <family val="3"/>
            <charset val="128"/>
          </rPr>
          <t>☆　直交回転
　　第１主成分と第２主成分が独立、相関係数＝０と想定して、軸を回転し、固有ベクトルを与え直す。
・・しかし、多変量データの特徴として、変数群どうしが無相関であると想定することには無理あることが多く、斜交回転を試みると良い。
☆　斜交回転
　　X軸付近の項目はよりX軸に沿うように、Y軸付近の項目はよりY軸に沿うように、変数同士の関係をより強調した配置になるように回転し、固有ベクトルを与え直す。</t>
        </r>
      </text>
    </comment>
    <comment ref="E8" authorId="0" shapeId="0" xr:uid="{00000000-0006-0000-0000-000008000000}">
      <text>
        <r>
          <rPr>
            <sz val="10"/>
            <color indexed="81"/>
            <rFont val="ＭＳ Ｐゴシック"/>
            <family val="3"/>
            <charset val="128"/>
          </rPr>
          <t xml:space="preserve">◎　既に得られているカテゴリー・グラフの固有ベクトルを-1～+1の範囲に標準化した上で、X軸とY軸を任意に斜交回転させ、その写像をグラフ化する。
</t>
        </r>
        <r>
          <rPr>
            <sz val="10"/>
            <color indexed="39"/>
            <rFont val="ＭＳ Ｐゴシック"/>
            <family val="3"/>
            <charset val="128"/>
          </rPr>
          <t>　ただし、斜交回転によって新たに与えられるベクトルは、元の固有値とは有意な関係がないが、主成分の解釈上は、回転させた散布図を観察しても良い。
◎　グラフのラベルを任意に表示し直したり、軸を回転させながら、軸(主成分）の意味を解釈する。
　（１）グラフの右側の「on」スイッチで「表示／非表示」が切り替わる。
　（２）表示が重なって読みにくい時は、ラベルを選択して移動できる。
※　カテゴリーグラフの解釈は、そのままケースグラフに重ねることができる。
※　カテゴリーグラフとケースグラフは連動して同じ角度で回転される。
※　回転させた場合は、主成分について再解釈をする必要がある。</t>
        </r>
      </text>
    </comment>
  </commentList>
</comments>
</file>

<file path=xl/sharedStrings.xml><?xml version="1.0" encoding="utf-8"?>
<sst xmlns="http://schemas.openxmlformats.org/spreadsheetml/2006/main" count="479" uniqueCount="200">
  <si>
    <t>カテゴリー</t>
  </si>
  <si>
    <t>元データ</t>
    <rPh sb="0" eb="1">
      <t>モト</t>
    </rPh>
    <phoneticPr fontId="1"/>
  </si>
  <si>
    <t>番号</t>
  </si>
  <si>
    <t>ケース</t>
  </si>
  <si>
    <t>手順１</t>
    <rPh sb="0" eb="2">
      <t>テジュン</t>
    </rPh>
    <phoneticPr fontId="1"/>
  </si>
  <si>
    <t>手順２</t>
    <rPh sb="0" eb="2">
      <t>テジュン</t>
    </rPh>
    <phoneticPr fontId="1"/>
  </si>
  <si>
    <t>手順３</t>
    <rPh sb="0" eb="2">
      <t>テジュン</t>
    </rPh>
    <phoneticPr fontId="1"/>
  </si>
  <si>
    <t>手順４</t>
    <rPh sb="0" eb="2">
      <t>テジュン</t>
    </rPh>
    <phoneticPr fontId="1"/>
  </si>
  <si>
    <t>順序</t>
    <rPh sb="0" eb="2">
      <t>ジュンジョ</t>
    </rPh>
    <phoneticPr fontId="1"/>
  </si>
  <si>
    <t>分析処理の内容</t>
    <rPh sb="0" eb="2">
      <t>ブンセキ</t>
    </rPh>
    <rPh sb="2" eb="4">
      <t>ショリ</t>
    </rPh>
    <rPh sb="5" eb="7">
      <t>ナイヨウ</t>
    </rPh>
    <phoneticPr fontId="1"/>
  </si>
  <si>
    <t>解説編</t>
    <rPh sb="0" eb="2">
      <t>カイセツ</t>
    </rPh>
    <rPh sb="2" eb="3">
      <t>ヘン</t>
    </rPh>
    <phoneticPr fontId="1"/>
  </si>
  <si>
    <t>マクロ・ジャンプボタン</t>
    <phoneticPr fontId="1"/>
  </si>
  <si>
    <t>グラフ表示と解釈</t>
    <rPh sb="3" eb="5">
      <t>ヒョウジ</t>
    </rPh>
    <rPh sb="6" eb="8">
      <t>カイシャク</t>
    </rPh>
    <phoneticPr fontId="1"/>
  </si>
  <si>
    <t>Y軸</t>
    <rPh sb="1" eb="2">
      <t>ジク</t>
    </rPh>
    <phoneticPr fontId="11"/>
  </si>
  <si>
    <t>X軸</t>
    <rPh sb="1" eb="2">
      <t>ジク</t>
    </rPh>
    <phoneticPr fontId="11"/>
  </si>
  <si>
    <t>°</t>
    <phoneticPr fontId="11"/>
  </si>
  <si>
    <t>on</t>
  </si>
  <si>
    <t>Ｘ</t>
  </si>
  <si>
    <t>Ｙ</t>
  </si>
  <si>
    <t>Len</t>
  </si>
  <si>
    <t>Hei</t>
  </si>
  <si>
    <t>Wid</t>
  </si>
  <si>
    <t>RX</t>
  </si>
  <si>
    <t>RY</t>
  </si>
  <si>
    <t>top</t>
  </si>
  <si>
    <t>bot</t>
  </si>
  <si>
    <t>New_X</t>
    <phoneticPr fontId="1"/>
  </si>
  <si>
    <t>New_Y</t>
    <phoneticPr fontId="1"/>
  </si>
  <si>
    <t>直交回転、斜交回転</t>
    <rPh sb="0" eb="2">
      <t>チョッコウ</t>
    </rPh>
    <rPh sb="2" eb="4">
      <t>カイテン</t>
    </rPh>
    <rPh sb="5" eb="7">
      <t>シャコウ</t>
    </rPh>
    <rPh sb="7" eb="9">
      <t>カイテン</t>
    </rPh>
    <phoneticPr fontId="1"/>
  </si>
  <si>
    <t>主成分分析 「量的データによる情報の要約：似た者集め」　　2014.12.10　マクロ設計 by 三村紀中</t>
    <rPh sb="0" eb="1">
      <t>シュ</t>
    </rPh>
    <rPh sb="1" eb="3">
      <t>セイブン</t>
    </rPh>
    <rPh sb="3" eb="5">
      <t>ブンセキ</t>
    </rPh>
    <rPh sb="7" eb="9">
      <t>リョウテキ</t>
    </rPh>
    <rPh sb="15" eb="17">
      <t>ジョウホウ</t>
    </rPh>
    <rPh sb="18" eb="20">
      <t>ヨウヤク</t>
    </rPh>
    <rPh sb="21" eb="22">
      <t>ニ</t>
    </rPh>
    <rPh sb="23" eb="24">
      <t>モノ</t>
    </rPh>
    <rPh sb="24" eb="25">
      <t>アツ</t>
    </rPh>
    <rPh sb="43" eb="45">
      <t>セッケイ</t>
    </rPh>
    <rPh sb="49" eb="51">
      <t>ミムラ</t>
    </rPh>
    <rPh sb="51" eb="52">
      <t>ノリ</t>
    </rPh>
    <rPh sb="52" eb="53">
      <t>ナカ</t>
    </rPh>
    <phoneticPr fontId="1"/>
  </si>
  <si>
    <t>主成分分析とは何か</t>
    <rPh sb="0" eb="1">
      <t>シュ</t>
    </rPh>
    <rPh sb="1" eb="3">
      <t>セイブン</t>
    </rPh>
    <rPh sb="3" eb="5">
      <t>ブンセキ</t>
    </rPh>
    <rPh sb="7" eb="8">
      <t>ナニ</t>
    </rPh>
    <phoneticPr fontId="1"/>
  </si>
  <si>
    <t>カテゴリー＞</t>
    <phoneticPr fontId="3"/>
  </si>
  <si>
    <t>各カテゴリーのケース数＞</t>
    <rPh sb="0" eb="1">
      <t>カク</t>
    </rPh>
    <rPh sb="10" eb="11">
      <t>スウ</t>
    </rPh>
    <phoneticPr fontId="11"/>
  </si>
  <si>
    <t>第1主成分</t>
  </si>
  <si>
    <t>第2主成分</t>
  </si>
  <si>
    <t>変数４</t>
  </si>
  <si>
    <t>変数５</t>
  </si>
  <si>
    <t>変数６</t>
  </si>
  <si>
    <t>主成分固有値・寄与率</t>
    <rPh sb="3" eb="6">
      <t>コユウチ</t>
    </rPh>
    <rPh sb="7" eb="10">
      <t>キヨリツ</t>
    </rPh>
    <phoneticPr fontId="1"/>
  </si>
  <si>
    <t>ケースv</t>
    <phoneticPr fontId="3"/>
  </si>
  <si>
    <t>表データの入力・分析開始</t>
    <rPh sb="0" eb="1">
      <t>ヒョウ</t>
    </rPh>
    <rPh sb="5" eb="7">
      <t>ニュウリョク</t>
    </rPh>
    <rPh sb="8" eb="10">
      <t>ブンセキ</t>
    </rPh>
    <rPh sb="10" eb="12">
      <t>カイシ</t>
    </rPh>
    <phoneticPr fontId="1"/>
  </si>
  <si>
    <t>主成分分析の計算内容</t>
    <rPh sb="0" eb="1">
      <t>シュ</t>
    </rPh>
    <rPh sb="1" eb="3">
      <t>セイブン</t>
    </rPh>
    <rPh sb="3" eb="5">
      <t>ブンセキ</t>
    </rPh>
    <rPh sb="6" eb="8">
      <t>ケイサン</t>
    </rPh>
    <rPh sb="8" eb="10">
      <t>ナイヨウ</t>
    </rPh>
    <phoneticPr fontId="1"/>
  </si>
  <si>
    <t>ケース</t>
    <phoneticPr fontId="1"/>
  </si>
  <si>
    <t>カテゴリー</t>
    <phoneticPr fontId="1"/>
  </si>
  <si>
    <t>簡易RotoPlot　（カテゴリー）</t>
    <rPh sb="0" eb="2">
      <t>カンイ</t>
    </rPh>
    <phoneticPr fontId="11"/>
  </si>
  <si>
    <t>簡易RotoPlot　（ケース）</t>
    <rPh sb="0" eb="2">
      <t>カンイ</t>
    </rPh>
    <phoneticPr fontId="11"/>
  </si>
  <si>
    <t>Ｘ軸</t>
    <rPh sb="1" eb="2">
      <t>ジク</t>
    </rPh>
    <phoneticPr fontId="1"/>
  </si>
  <si>
    <t>Ｙ軸</t>
    <rPh sb="1" eb="2">
      <t>ジク</t>
    </rPh>
    <phoneticPr fontId="1"/>
  </si>
  <si>
    <t>簡易RotoPlotによる解釈</t>
    <rPh sb="0" eb="2">
      <t>カンイ</t>
    </rPh>
    <rPh sb="13" eb="15">
      <t>カイシャク</t>
    </rPh>
    <phoneticPr fontId="1"/>
  </si>
  <si>
    <t>主成分１＆２の解釈</t>
    <rPh sb="0" eb="1">
      <t>シュ</t>
    </rPh>
    <rPh sb="1" eb="3">
      <t>セイブン</t>
    </rPh>
    <rPh sb="7" eb="9">
      <t>カイシャク</t>
    </rPh>
    <phoneticPr fontId="1"/>
  </si>
  <si>
    <t>「固有値」の断層の観察</t>
    <rPh sb="1" eb="3">
      <t>コユウ</t>
    </rPh>
    <rPh sb="3" eb="4">
      <t>アタイ</t>
    </rPh>
    <rPh sb="6" eb="8">
      <t>ダンソウ</t>
    </rPh>
    <rPh sb="9" eb="11">
      <t>カンサツ</t>
    </rPh>
    <phoneticPr fontId="1"/>
  </si>
  <si>
    <t/>
  </si>
  <si>
    <t>第3主成分</t>
  </si>
  <si>
    <t>第4主成分</t>
  </si>
  <si>
    <t>'********************************************************************************************</t>
  </si>
  <si>
    <t>'　主計算ルーチンは群馬大学社会情報学部教授　青木繁伸先生が公開しておられるエクセルVBAによる。</t>
  </si>
  <si>
    <t>'    http://aoki2.si.gunma-u.ac.jp/lecture/stats-by-excel-old/vba/index.html</t>
  </si>
  <si>
    <t>第5主成分</t>
    <phoneticPr fontId="1"/>
  </si>
  <si>
    <t>カテゴリー数</t>
    <phoneticPr fontId="1"/>
  </si>
  <si>
    <t>ケース数</t>
    <phoneticPr fontId="1"/>
  </si>
  <si>
    <t>主成分負荷量</t>
    <phoneticPr fontId="1"/>
  </si>
  <si>
    <t>第1主成分</t>
    <phoneticPr fontId="1"/>
  </si>
  <si>
    <t>第2主成分</t>
    <phoneticPr fontId="1"/>
  </si>
  <si>
    <t>第3主成分</t>
    <phoneticPr fontId="1"/>
  </si>
  <si>
    <t>第4主成分</t>
    <phoneticPr fontId="1"/>
  </si>
  <si>
    <t>寄与率</t>
    <phoneticPr fontId="1"/>
  </si>
  <si>
    <t>番号</t>
    <phoneticPr fontId="1"/>
  </si>
  <si>
    <t>変数名</t>
    <phoneticPr fontId="1"/>
  </si>
  <si>
    <t>固有値</t>
    <phoneticPr fontId="1"/>
  </si>
  <si>
    <t>累積寄与率</t>
    <phoneticPr fontId="1"/>
  </si>
  <si>
    <t>固有値簡易グラフ</t>
    <phoneticPr fontId="1"/>
  </si>
  <si>
    <t>有効な解の数</t>
    <phoneticPr fontId="1"/>
  </si>
  <si>
    <t>固有値の合計</t>
    <phoneticPr fontId="1"/>
  </si>
  <si>
    <t>主成分得点</t>
    <phoneticPr fontId="1"/>
  </si>
  <si>
    <t>X軸の解釈</t>
    <phoneticPr fontId="1"/>
  </si>
  <si>
    <t>X軸</t>
    <phoneticPr fontId="1"/>
  </si>
  <si>
    <t>(－)解釈･･･</t>
    <phoneticPr fontId="1"/>
  </si>
  <si>
    <t>(＋)解釈･･･</t>
    <phoneticPr fontId="1"/>
  </si>
  <si>
    <t>－</t>
    <phoneticPr fontId="1"/>
  </si>
  <si>
    <t>＋</t>
    <phoneticPr fontId="1"/>
  </si>
  <si>
    <t>Y軸の解釈</t>
    <phoneticPr fontId="1"/>
  </si>
  <si>
    <t>Y軸</t>
    <phoneticPr fontId="1"/>
  </si>
  <si>
    <t>Roto_X</t>
    <phoneticPr fontId="1"/>
  </si>
  <si>
    <t>Roto_Y</t>
    <phoneticPr fontId="1"/>
  </si>
  <si>
    <t>握力（kg）</t>
  </si>
  <si>
    <t>上体起こし（回）</t>
  </si>
  <si>
    <t>長座体前屈（cm）</t>
  </si>
  <si>
    <t>反復横とび（点）</t>
  </si>
  <si>
    <t>立ち幅とび（cm）</t>
  </si>
  <si>
    <t>愛知県</t>
  </si>
  <si>
    <t>愛媛県</t>
  </si>
  <si>
    <t>茨城県</t>
  </si>
  <si>
    <t>岡山県</t>
  </si>
  <si>
    <t>沖縄県</t>
  </si>
  <si>
    <t>岩手県</t>
  </si>
  <si>
    <t>岐阜県</t>
  </si>
  <si>
    <t>宮崎県</t>
  </si>
  <si>
    <t>宮城県</t>
  </si>
  <si>
    <t>京都府</t>
  </si>
  <si>
    <t>熊本県</t>
  </si>
  <si>
    <t>群馬県</t>
  </si>
  <si>
    <t>広島県</t>
  </si>
  <si>
    <t>香川県</t>
  </si>
  <si>
    <t>高知県</t>
  </si>
  <si>
    <t>佐賀県</t>
  </si>
  <si>
    <t>埼玉県</t>
  </si>
  <si>
    <t>三重県</t>
  </si>
  <si>
    <t>山形県</t>
  </si>
  <si>
    <t>山口県</t>
  </si>
  <si>
    <t>山梨県</t>
  </si>
  <si>
    <t>滋賀県</t>
  </si>
  <si>
    <t>鹿児島県</t>
  </si>
  <si>
    <t>秋田県</t>
  </si>
  <si>
    <t>新潟県</t>
  </si>
  <si>
    <t>神奈川県</t>
  </si>
  <si>
    <t>青森県</t>
  </si>
  <si>
    <t>静岡県</t>
  </si>
  <si>
    <t>石川県</t>
  </si>
  <si>
    <t>千葉県</t>
  </si>
  <si>
    <t>大阪府</t>
  </si>
  <si>
    <t>大分県</t>
  </si>
  <si>
    <t>長崎県</t>
  </si>
  <si>
    <t>長野県</t>
  </si>
  <si>
    <t>鳥取県</t>
  </si>
  <si>
    <t>島根県</t>
  </si>
  <si>
    <t>東京都</t>
  </si>
  <si>
    <t>徳島県</t>
  </si>
  <si>
    <t>栃木県</t>
  </si>
  <si>
    <t>奈良県</t>
  </si>
  <si>
    <t>富山県</t>
  </si>
  <si>
    <t>福井県</t>
  </si>
  <si>
    <t>福岡県</t>
  </si>
  <si>
    <t>福島県</t>
  </si>
  <si>
    <t>兵庫県</t>
  </si>
  <si>
    <t>北海道</t>
  </si>
  <si>
    <t>和歌山県</t>
  </si>
  <si>
    <t>20mシャトルラン（回）</t>
    <phoneticPr fontId="4" type="Hiragana"/>
  </si>
  <si>
    <t>50m走（10-秒）*10</t>
    <phoneticPr fontId="4" type="Hiragana"/>
  </si>
  <si>
    <t>ソフトボール投げ（m）</t>
    <phoneticPr fontId="4" type="Hiragana"/>
  </si>
  <si>
    <t>　　　　　　　　　　　　ケース→
↓変数</t>
    <rPh sb="20" eb="22">
      <t>ヘンスウ</t>
    </rPh>
    <phoneticPr fontId="52"/>
  </si>
  <si>
    <t>第5主成分</t>
  </si>
  <si>
    <t>第6主成分</t>
  </si>
  <si>
    <t>第7主成分</t>
  </si>
  <si>
    <t>第6主成分</t>
    <phoneticPr fontId="1"/>
  </si>
  <si>
    <t>第7主成分</t>
    <phoneticPr fontId="1"/>
  </si>
  <si>
    <t>第8主成分</t>
    <phoneticPr fontId="1"/>
  </si>
  <si>
    <t>小学生を対象とした体力測定結果（県別集計）</t>
    <rPh sb="0" eb="3">
      <t>ショウガクセイ</t>
    </rPh>
    <rPh sb="4" eb="6">
      <t>タイショウ</t>
    </rPh>
    <rPh sb="9" eb="13">
      <t>タイリョクソクテイ</t>
    </rPh>
    <rPh sb="13" eb="15">
      <t>ケッカ</t>
    </rPh>
    <rPh sb="16" eb="18">
      <t>ケンベツ</t>
    </rPh>
    <rPh sb="18" eb="20">
      <t>シュウケイ</t>
    </rPh>
    <phoneticPr fontId="1"/>
  </si>
  <si>
    <t>チーム　　</t>
  </si>
  <si>
    <t>防御率</t>
  </si>
  <si>
    <t>勝率</t>
  </si>
  <si>
    <t>被安打</t>
  </si>
  <si>
    <t>被本塁打</t>
  </si>
  <si>
    <t>三振</t>
  </si>
  <si>
    <t>四球</t>
  </si>
  <si>
    <t>死球</t>
  </si>
  <si>
    <t>阪神　　</t>
  </si>
  <si>
    <t>巨人　　</t>
  </si>
  <si>
    <t>中日　　</t>
  </si>
  <si>
    <t>ヤクルト</t>
  </si>
  <si>
    <t>広島　　</t>
  </si>
  <si>
    <t>横浜　　</t>
  </si>
  <si>
    <t>日本ハム</t>
  </si>
  <si>
    <t>西武　　</t>
  </si>
  <si>
    <t>楽天　　</t>
  </si>
  <si>
    <t>オリックス</t>
  </si>
  <si>
    <t>ソフトバンク</t>
  </si>
  <si>
    <t>千葉ロッテ</t>
  </si>
  <si>
    <t>*******</t>
  </si>
  <si>
    <t>******</t>
  </si>
  <si>
    <t>****************</t>
  </si>
  <si>
    <t>**********************</t>
  </si>
  <si>
    <t>**************************</t>
  </si>
  <si>
    <t>******************************</t>
  </si>
  <si>
    <t>*********</t>
  </si>
  <si>
    <t>*****</t>
  </si>
  <si>
    <t>******************</t>
  </si>
  <si>
    <t>***</t>
  </si>
  <si>
    <t>************</t>
  </si>
  <si>
    <t>********</t>
  </si>
  <si>
    <t>*****************************</t>
  </si>
  <si>
    <t>***********************</t>
  </si>
  <si>
    <t>************************</t>
  </si>
  <si>
    <t>*************</t>
  </si>
  <si>
    <t>****</t>
  </si>
  <si>
    <t>**</t>
  </si>
  <si>
    <t>*</t>
  </si>
  <si>
    <t>平均</t>
    <rPh sb="0" eb="2">
      <t>ヘイキン</t>
    </rPh>
    <phoneticPr fontId="1"/>
  </si>
  <si>
    <t>標準偏差</t>
    <rPh sb="0" eb="2">
      <t>ヒョウジュン</t>
    </rPh>
    <rPh sb="2" eb="4">
      <t>ヘンサ</t>
    </rPh>
    <phoneticPr fontId="1"/>
  </si>
  <si>
    <t>正規化したデータ（偏差値）</t>
    <rPh sb="0" eb="3">
      <t>セイキカ</t>
    </rPh>
    <rPh sb="9" eb="12">
      <t>ヘンサチ</t>
    </rPh>
    <phoneticPr fontId="1"/>
  </si>
  <si>
    <r>
      <t>各チームの守備力データ</t>
    </r>
    <r>
      <rPr>
        <sz val="14"/>
        <rFont val="Osaka"/>
        <family val="3"/>
        <charset val="128"/>
      </rPr>
      <t xml:space="preserve"> (2008年度 日本野球機構)</t>
    </r>
    <rPh sb="0" eb="1">
      <t>カク</t>
    </rPh>
    <rPh sb="5" eb="8">
      <t>シュビリョク</t>
    </rPh>
    <rPh sb="17" eb="18">
      <t>ネン</t>
    </rPh>
    <rPh sb="18" eb="19">
      <t>ド</t>
    </rPh>
    <rPh sb="20" eb="22">
      <t>ニホン</t>
    </rPh>
    <rPh sb="22" eb="26">
      <t>ヤキュウキコウ</t>
    </rPh>
    <phoneticPr fontId="1"/>
  </si>
  <si>
    <t>★★★　生データだと分かりにくいので、まずは偏差値に直してみよう　★★★</t>
    <rPh sb="4" eb="5">
      <t>ナマ</t>
    </rPh>
    <rPh sb="10" eb="11">
      <t>ワ</t>
    </rPh>
    <rPh sb="22" eb="25">
      <t>ヘンサチ</t>
    </rPh>
    <rPh sb="26" eb="27">
      <t>ナオ</t>
    </rPh>
    <phoneticPr fontId="1"/>
  </si>
  <si>
    <t>20mシャトルラン（回）</t>
  </si>
  <si>
    <t>50m走（10-秒）*10</t>
  </si>
  <si>
    <t>ソフトボール投げ（m）</t>
  </si>
  <si>
    <t>偏差値＝</t>
    <rPh sb="0" eb="3">
      <t>ヘンサチ</t>
    </rPh>
    <phoneticPr fontId="1"/>
  </si>
  <si>
    <t>50＋ばらつき・の大きさ</t>
    <rPh sb="9" eb="10">
      <t>オオ</t>
    </rPh>
    <phoneticPr fontId="1"/>
  </si>
  <si>
    <t>巨人　　</t>
    <phoneticPr fontId="4" type="Hiragana"/>
  </si>
  <si>
    <t>防御率</t>
    <phoneticPr fontId="4" type="Hiragana"/>
  </si>
  <si>
    <t>勝率</t>
    <phoneticPr fontId="4" type="Hiragana"/>
  </si>
  <si>
    <t>被安打</t>
    <phoneticPr fontId="4" type="Hiragana"/>
  </si>
</sst>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_ ;[Red]\-0.00\ "/>
    <numFmt numFmtId="177" formatCode="#,##0.0;[Red]\-#,##0.0"/>
    <numFmt numFmtId="178" formatCode="0_ ;[Red]\-0\ "/>
    <numFmt numFmtId="179" formatCode="0.00_ "/>
    <numFmt numFmtId="180" formatCode="0_ "/>
    <numFmt numFmtId="181" formatCode="0.0_ "/>
  </numFmts>
  <fonts count="55">
    <font>
      <sz val="10"/>
      <name val="Osaka"/>
      <family val="3"/>
      <charset val="128"/>
    </font>
    <font>
      <sz val="6"/>
      <name val="Osaka"/>
      <family val="3"/>
      <charset val="128"/>
    </font>
    <font>
      <sz val="12"/>
      <name val="Osaka"/>
      <family val="3"/>
      <charset val="128"/>
    </font>
    <font>
      <sz val="10"/>
      <color rgb="FFFF0000"/>
      <name val="Osaka"/>
      <family val="3"/>
      <charset val="128"/>
    </font>
    <font>
      <b/>
      <sz val="10"/>
      <color rgb="FFFFFF00"/>
      <name val="Osaka"/>
      <family val="3"/>
      <charset val="128"/>
    </font>
    <font>
      <sz val="11"/>
      <name val="Osaka"/>
      <family val="3"/>
      <charset val="128"/>
    </font>
    <font>
      <b/>
      <sz val="14"/>
      <color rgb="FF000000"/>
      <name val="ＭＳ Ｐゴシック"/>
      <family val="3"/>
      <charset val="128"/>
    </font>
    <font>
      <b/>
      <sz val="12"/>
      <color rgb="FF800000"/>
      <name val="ＭＳ Ｐゴシック"/>
      <family val="3"/>
      <charset val="128"/>
    </font>
    <font>
      <b/>
      <sz val="14"/>
      <name val="Osaka"/>
      <family val="3"/>
      <charset val="128"/>
    </font>
    <font>
      <b/>
      <sz val="12"/>
      <color rgb="FF000000"/>
      <name val="ＭＳ Ｐゴシック"/>
      <family val="3"/>
      <charset val="128"/>
    </font>
    <font>
      <sz val="10"/>
      <color theme="1"/>
      <name val="メイリオ"/>
      <family val="3"/>
      <charset val="128"/>
    </font>
    <font>
      <sz val="6"/>
      <name val="ＭＳ Ｐゴシック"/>
      <family val="3"/>
      <charset val="128"/>
      <scheme val="minor"/>
    </font>
    <font>
      <sz val="10"/>
      <name val="Osaka"/>
      <family val="3"/>
      <charset val="128"/>
    </font>
    <font>
      <sz val="18"/>
      <name val="Osaka"/>
      <family val="3"/>
      <charset val="128"/>
    </font>
    <font>
      <sz val="10"/>
      <color indexed="81"/>
      <name val="ＭＳ Ｐゴシック"/>
      <family val="3"/>
      <charset val="128"/>
    </font>
    <font>
      <sz val="10"/>
      <name val="ＭＳ Ｐゴシック"/>
      <family val="3"/>
      <charset val="128"/>
      <scheme val="major"/>
    </font>
    <font>
      <b/>
      <sz val="18"/>
      <name val="Osaka"/>
      <family val="3"/>
      <charset val="128"/>
    </font>
    <font>
      <b/>
      <sz val="10"/>
      <name val="Osaka"/>
      <family val="3"/>
      <charset val="128"/>
    </font>
    <font>
      <sz val="10"/>
      <color indexed="48"/>
      <name val="ＭＳ Ｐゴシック"/>
      <family val="3"/>
      <charset val="128"/>
    </font>
    <font>
      <sz val="14"/>
      <name val="Osaka"/>
      <family val="3"/>
      <charset val="128"/>
    </font>
    <font>
      <sz val="20"/>
      <name val="ＭＳ Ｐゴシック"/>
      <family val="3"/>
      <charset val="128"/>
      <scheme val="major"/>
    </font>
    <font>
      <sz val="18"/>
      <color rgb="FF0070C0"/>
      <name val="Osaka"/>
      <family val="3"/>
      <charset val="128"/>
    </font>
    <font>
      <sz val="20"/>
      <name val="Osaka"/>
      <family val="3"/>
      <charset val="128"/>
    </font>
    <font>
      <sz val="20"/>
      <color rgb="FFFF0000"/>
      <name val="Osaka"/>
      <family val="3"/>
      <charset val="128"/>
    </font>
    <font>
      <sz val="8"/>
      <color theme="6" tint="0.39997558519241921"/>
      <name val="Osaka"/>
      <family val="3"/>
      <charset val="128"/>
    </font>
    <font>
      <b/>
      <sz val="11"/>
      <color rgb="FF000000"/>
      <name val="ＭＳ Ｐゴシック"/>
      <family val="3"/>
      <charset val="128"/>
    </font>
    <font>
      <b/>
      <sz val="11"/>
      <color rgb="FF800000"/>
      <name val="ＭＳ Ｐゴシック"/>
      <family val="3"/>
      <charset val="128"/>
    </font>
    <font>
      <b/>
      <sz val="11"/>
      <color rgb="FF808000"/>
      <name val="ＭＳ Ｐゴシック"/>
      <family val="3"/>
      <charset val="128"/>
    </font>
    <font>
      <b/>
      <sz val="10"/>
      <color rgb="FF808000"/>
      <name val="ＭＳ Ｐゴシック"/>
      <family val="3"/>
      <charset val="128"/>
    </font>
    <font>
      <b/>
      <sz val="14"/>
      <color rgb="FF800000"/>
      <name val="ＭＳ Ｐゴシック"/>
      <family val="3"/>
      <charset val="128"/>
    </font>
    <font>
      <b/>
      <sz val="16"/>
      <color rgb="FF000000"/>
      <name val="ＭＳ Ｐゴシック"/>
      <family val="3"/>
      <charset val="128"/>
    </font>
    <font>
      <sz val="14"/>
      <color rgb="FFFF0000"/>
      <name val="ＭＳ Ｐゴシック"/>
      <family val="3"/>
      <charset val="128"/>
    </font>
    <font>
      <b/>
      <sz val="14"/>
      <color rgb="FF0000FF"/>
      <name val="ＭＳ Ｐゴシック"/>
      <family val="3"/>
      <charset val="128"/>
    </font>
    <font>
      <b/>
      <sz val="12"/>
      <color rgb="FF0000FF"/>
      <name val="ＭＳ Ｐゴシック"/>
      <family val="3"/>
      <charset val="128"/>
    </font>
    <font>
      <b/>
      <sz val="12"/>
      <color theme="1"/>
      <name val="ＭＳ Ｐゴシック"/>
      <family val="3"/>
      <charset val="128"/>
      <scheme val="minor"/>
    </font>
    <font>
      <sz val="10"/>
      <color indexed="39"/>
      <name val="ＭＳ Ｐゴシック"/>
      <family val="3"/>
      <charset val="128"/>
    </font>
    <font>
      <sz val="12"/>
      <color rgb="FF000000"/>
      <name val="ＭＳ Ｐゴシック"/>
      <family val="3"/>
      <charset val="128"/>
    </font>
    <font>
      <b/>
      <sz val="12"/>
      <color rgb="FFFF9900"/>
      <name val="ＭＳ Ｐゴシック"/>
      <family val="3"/>
      <charset val="128"/>
    </font>
    <font>
      <b/>
      <sz val="12"/>
      <color theme="3" tint="0.39997558519241921"/>
      <name val="Osaka"/>
      <family val="3"/>
      <charset val="128"/>
    </font>
    <font>
      <sz val="12"/>
      <color theme="3" tint="0.39997558519241921"/>
      <name val="Osaka"/>
      <family val="3"/>
      <charset val="128"/>
    </font>
    <font>
      <sz val="12"/>
      <name val="ＭＳ Ｐゴシック"/>
      <family val="3"/>
      <charset val="128"/>
      <scheme val="minor"/>
    </font>
    <font>
      <sz val="10"/>
      <name val="ＭＳ Ｐゴシック"/>
      <family val="3"/>
      <charset val="128"/>
      <scheme val="minor"/>
    </font>
    <font>
      <sz val="11"/>
      <name val="ＭＳ Ｐゴシック"/>
      <family val="3"/>
      <charset val="128"/>
      <scheme val="minor"/>
    </font>
    <font>
      <sz val="9"/>
      <name val="ＭＳ Ｐゴシック"/>
      <family val="3"/>
      <charset val="128"/>
      <scheme val="minor"/>
    </font>
    <font>
      <sz val="10"/>
      <color rgb="FFFF0000"/>
      <name val="ＭＳ Ｐゴシック"/>
      <family val="3"/>
      <charset val="128"/>
      <scheme val="minor"/>
    </font>
    <font>
      <sz val="20"/>
      <name val="ＭＳ Ｐゴシック"/>
      <family val="2"/>
      <scheme val="minor"/>
    </font>
    <font>
      <sz val="8"/>
      <color theme="6" tint="0.79998168889431442"/>
      <name val="Osaka"/>
      <family val="3"/>
      <charset val="128"/>
    </font>
    <font>
      <sz val="9"/>
      <color indexed="81"/>
      <name val="ＭＳ Ｐゴシック"/>
      <family val="3"/>
      <charset val="128"/>
    </font>
    <font>
      <b/>
      <sz val="16"/>
      <color rgb="FF800000"/>
      <name val="ＭＳ Ｐゴシック"/>
      <family val="3"/>
      <charset val="128"/>
    </font>
    <font>
      <b/>
      <sz val="11"/>
      <color rgb="FF0070C0"/>
      <name val="Osaka"/>
      <family val="3"/>
      <charset val="128"/>
    </font>
    <font>
      <sz val="9"/>
      <color theme="4" tint="-0.249977111117893"/>
      <name val="ＭＳ Ｐゴシック"/>
      <family val="3"/>
      <charset val="128"/>
    </font>
    <font>
      <sz val="9"/>
      <name val="ＭＳ Ｐゴシック"/>
      <family val="3"/>
      <charset val="128"/>
    </font>
    <font>
      <sz val="11"/>
      <name val="ＭＳ Ｐゴシック"/>
      <family val="3"/>
      <charset val="128"/>
    </font>
    <font>
      <sz val="10"/>
      <name val="ＭＳ Ｐゴシック"/>
      <family val="3"/>
      <charset val="128"/>
    </font>
    <font>
      <sz val="16"/>
      <name val="Osaka"/>
      <family val="3"/>
      <charset val="128"/>
    </font>
  </fonts>
  <fills count="18">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ED9D2"/>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2" tint="-9.9978637043366805E-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dotted">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bottom style="thin">
        <color indexed="64"/>
      </bottom>
      <diagonal/>
    </border>
    <border>
      <left/>
      <right/>
      <top/>
      <bottom style="medium">
        <color indexed="64"/>
      </bottom>
      <diagonal/>
    </border>
    <border>
      <left/>
      <right/>
      <top style="medium">
        <color indexed="64"/>
      </top>
      <bottom style="thin">
        <color indexed="64"/>
      </bottom>
      <diagonal/>
    </border>
  </borders>
  <cellStyleXfs count="3">
    <xf numFmtId="0" fontId="0" fillId="0" borderId="0"/>
    <xf numFmtId="0" fontId="10" fillId="0" borderId="0">
      <alignment vertical="center"/>
    </xf>
    <xf numFmtId="38" fontId="12" fillId="0" borderId="0" applyFont="0" applyFill="0" applyBorder="0" applyAlignment="0" applyProtection="0">
      <alignment vertical="center"/>
    </xf>
  </cellStyleXfs>
  <cellXfs count="161">
    <xf numFmtId="0" fontId="0" fillId="0" borderId="0" xfId="0"/>
    <xf numFmtId="0" fontId="0" fillId="0" borderId="0" xfId="0" applyAlignment="1">
      <alignment horizontal="center" vertical="center"/>
    </xf>
    <xf numFmtId="176" fontId="5" fillId="2" borderId="0" xfId="0" applyNumberFormat="1" applyFont="1" applyFill="1" applyAlignment="1" applyProtection="1">
      <alignment vertical="center"/>
      <protection locked="0"/>
    </xf>
    <xf numFmtId="0" fontId="0" fillId="0" borderId="0" xfId="0" applyAlignment="1">
      <alignment vertical="center"/>
    </xf>
    <xf numFmtId="38" fontId="0" fillId="0" borderId="0" xfId="2" applyFont="1" applyAlignment="1">
      <alignment horizontal="center" vertical="center"/>
    </xf>
    <xf numFmtId="40" fontId="0" fillId="0" borderId="0" xfId="2" applyNumberFormat="1" applyFont="1" applyAlignment="1">
      <alignment horizontal="center" vertical="center"/>
    </xf>
    <xf numFmtId="176" fontId="0" fillId="0" borderId="0" xfId="0" applyNumberFormat="1" applyAlignment="1">
      <alignment vertical="center"/>
    </xf>
    <xf numFmtId="0" fontId="5" fillId="0" borderId="0" xfId="0" applyFont="1" applyAlignment="1">
      <alignment horizontal="center" vertical="center"/>
    </xf>
    <xf numFmtId="0" fontId="0" fillId="0" borderId="0" xfId="0" applyAlignment="1">
      <alignment vertical="center" shrinkToFit="1"/>
    </xf>
    <xf numFmtId="0" fontId="0" fillId="0" borderId="0" xfId="0" applyAlignment="1">
      <alignment horizontal="left" vertical="center" shrinkToFit="1"/>
    </xf>
    <xf numFmtId="0" fontId="0" fillId="6" borderId="0" xfId="0" applyFill="1" applyAlignment="1">
      <alignment vertical="center"/>
    </xf>
    <xf numFmtId="0" fontId="1" fillId="0" borderId="0" xfId="0" applyFont="1" applyAlignment="1">
      <alignment horizontal="center" vertical="center"/>
    </xf>
    <xf numFmtId="0" fontId="5" fillId="0" borderId="2" xfId="0" applyFont="1" applyBorder="1" applyAlignment="1">
      <alignment horizontal="center" vertical="center"/>
    </xf>
    <xf numFmtId="0" fontId="15" fillId="0" borderId="2" xfId="0" applyFont="1" applyBorder="1" applyAlignment="1">
      <alignment horizontal="center" vertical="center"/>
    </xf>
    <xf numFmtId="0" fontId="0" fillId="3" borderId="2" xfId="0" applyFill="1" applyBorder="1" applyAlignment="1">
      <alignment vertical="center"/>
    </xf>
    <xf numFmtId="0" fontId="0" fillId="9" borderId="2" xfId="0" applyFill="1" applyBorder="1" applyAlignment="1">
      <alignment horizontal="center" vertical="center"/>
    </xf>
    <xf numFmtId="0" fontId="0" fillId="9" borderId="2" xfId="0" applyFill="1" applyBorder="1" applyAlignment="1">
      <alignment vertical="center"/>
    </xf>
    <xf numFmtId="0" fontId="0" fillId="0" borderId="2" xfId="0" applyBorder="1" applyAlignment="1">
      <alignment horizontal="center" vertical="center"/>
    </xf>
    <xf numFmtId="0" fontId="19" fillId="9" borderId="2" xfId="0" applyFont="1" applyFill="1" applyBorder="1" applyAlignment="1">
      <alignment horizontal="center" vertical="center" wrapText="1"/>
    </xf>
    <xf numFmtId="176" fontId="21" fillId="3" borderId="4" xfId="0" applyNumberFormat="1" applyFont="1" applyFill="1" applyBorder="1" applyAlignment="1" applyProtection="1">
      <alignment horizontal="center" vertical="center"/>
      <protection locked="0"/>
    </xf>
    <xf numFmtId="0" fontId="19" fillId="3" borderId="3" xfId="0" applyFont="1" applyFill="1" applyBorder="1" applyAlignment="1">
      <alignment horizontal="center" vertical="center"/>
    </xf>
    <xf numFmtId="176" fontId="22" fillId="3" borderId="2" xfId="0" applyNumberFormat="1" applyFont="1" applyFill="1" applyBorder="1" applyAlignment="1">
      <alignment horizontal="center" vertical="center"/>
    </xf>
    <xf numFmtId="176" fontId="23" fillId="3" borderId="2" xfId="0" quotePrefix="1" applyNumberFormat="1" applyFont="1" applyFill="1" applyBorder="1" applyAlignment="1">
      <alignment horizontal="center" vertical="center"/>
    </xf>
    <xf numFmtId="176" fontId="3" fillId="0" borderId="0" xfId="0" applyNumberFormat="1" applyFont="1" applyAlignment="1">
      <alignment horizontal="right" vertical="center"/>
    </xf>
    <xf numFmtId="0" fontId="3" fillId="0" borderId="0" xfId="0" applyFont="1" applyAlignment="1">
      <alignment horizontal="right" vertical="center"/>
    </xf>
    <xf numFmtId="176" fontId="24" fillId="4" borderId="0" xfId="0" applyNumberFormat="1" applyFont="1" applyFill="1" applyAlignment="1">
      <alignment horizontal="center" vertical="center"/>
    </xf>
    <xf numFmtId="38" fontId="0" fillId="0" borderId="2" xfId="2" applyFont="1" applyBorder="1" applyAlignment="1">
      <alignment horizontal="center" vertical="center"/>
    </xf>
    <xf numFmtId="0" fontId="17"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15" fillId="6" borderId="0" xfId="0" applyFont="1" applyFill="1" applyAlignment="1">
      <alignment vertical="center" shrinkToFit="1"/>
    </xf>
    <xf numFmtId="0" fontId="15" fillId="0" borderId="0" xfId="0" applyFont="1" applyAlignment="1">
      <alignment vertical="center" shrinkToFit="1"/>
    </xf>
    <xf numFmtId="40" fontId="0" fillId="0" borderId="2" xfId="2" applyNumberFormat="1" applyFont="1" applyBorder="1" applyAlignment="1">
      <alignment horizontal="center" vertical="center"/>
    </xf>
    <xf numFmtId="177" fontId="0" fillId="0" borderId="0" xfId="2" applyNumberFormat="1" applyFont="1" applyAlignment="1">
      <alignment horizontal="center" vertical="center"/>
    </xf>
    <xf numFmtId="40" fontId="0" fillId="0" borderId="0" xfId="0" applyNumberFormat="1" applyAlignment="1">
      <alignment vertical="center"/>
    </xf>
    <xf numFmtId="40" fontId="0" fillId="0" borderId="0" xfId="2" applyNumberFormat="1" applyFont="1" applyAlignment="1">
      <alignment vertical="center"/>
    </xf>
    <xf numFmtId="178" fontId="34" fillId="0" borderId="0" xfId="0" applyNumberFormat="1" applyFont="1" applyAlignment="1">
      <alignment horizontal="center" vertical="center"/>
    </xf>
    <xf numFmtId="0" fontId="0" fillId="10" borderId="0" xfId="0" applyFill="1" applyAlignment="1">
      <alignment vertical="center"/>
    </xf>
    <xf numFmtId="0" fontId="0" fillId="10" borderId="0" xfId="0" applyFill="1" applyAlignment="1">
      <alignment horizontal="right" vertical="center"/>
    </xf>
    <xf numFmtId="178" fontId="34" fillId="10" borderId="0" xfId="0" applyNumberFormat="1" applyFont="1" applyFill="1" applyAlignment="1">
      <alignment horizontal="center" vertical="center"/>
    </xf>
    <xf numFmtId="0" fontId="34" fillId="10" borderId="0" xfId="0" applyFont="1" applyFill="1" applyAlignment="1">
      <alignment vertical="center"/>
    </xf>
    <xf numFmtId="178" fontId="34" fillId="10" borderId="0" xfId="0" applyNumberFormat="1" applyFont="1" applyFill="1" applyAlignment="1">
      <alignment horizontal="right" vertical="center"/>
    </xf>
    <xf numFmtId="0" fontId="0" fillId="5" borderId="0" xfId="0" applyFill="1" applyAlignment="1">
      <alignment vertical="center"/>
    </xf>
    <xf numFmtId="0" fontId="34" fillId="5" borderId="0" xfId="0" applyFont="1" applyFill="1" applyAlignment="1">
      <alignment vertical="center"/>
    </xf>
    <xf numFmtId="178" fontId="34" fillId="5" borderId="0" xfId="0" applyNumberFormat="1" applyFont="1" applyFill="1" applyAlignment="1">
      <alignment horizontal="right" vertical="center"/>
    </xf>
    <xf numFmtId="38" fontId="0" fillId="0" borderId="0" xfId="2" applyFont="1" applyAlignment="1">
      <alignment vertical="center"/>
    </xf>
    <xf numFmtId="40" fontId="0" fillId="0" borderId="0" xfId="2" quotePrefix="1" applyNumberFormat="1" applyFont="1" applyAlignment="1">
      <alignment horizontal="center" vertical="center"/>
    </xf>
    <xf numFmtId="0" fontId="0" fillId="0" borderId="0" xfId="0" quotePrefix="1" applyAlignment="1">
      <alignment horizontal="center" vertical="center"/>
    </xf>
    <xf numFmtId="0" fontId="38" fillId="0" borderId="2" xfId="0" applyFont="1" applyBorder="1" applyAlignment="1">
      <alignment horizontal="center" vertical="center"/>
    </xf>
    <xf numFmtId="0" fontId="39" fillId="0" borderId="2" xfId="0" applyFont="1" applyBorder="1" applyAlignment="1">
      <alignment horizontal="center" vertical="center"/>
    </xf>
    <xf numFmtId="0" fontId="16" fillId="12" borderId="0" xfId="0" applyFont="1" applyFill="1" applyAlignment="1">
      <alignment vertical="center"/>
    </xf>
    <xf numFmtId="0" fontId="0" fillId="12" borderId="2" xfId="0" applyFill="1" applyBorder="1" applyAlignment="1">
      <alignment horizontal="center" vertical="center"/>
    </xf>
    <xf numFmtId="40" fontId="0" fillId="12" borderId="2" xfId="2" applyNumberFormat="1" applyFont="1" applyFill="1" applyBorder="1" applyAlignment="1">
      <alignment horizontal="center" vertical="center"/>
    </xf>
    <xf numFmtId="0" fontId="0" fillId="12" borderId="5" xfId="0" applyFill="1" applyBorder="1" applyAlignment="1">
      <alignment vertical="center"/>
    </xf>
    <xf numFmtId="0" fontId="0" fillId="11" borderId="2" xfId="0" applyFill="1" applyBorder="1" applyAlignment="1">
      <alignment horizontal="center" vertical="center"/>
    </xf>
    <xf numFmtId="0" fontId="0" fillId="12" borderId="3" xfId="0" applyFill="1" applyBorder="1" applyAlignment="1">
      <alignment vertical="center"/>
    </xf>
    <xf numFmtId="0" fontId="41" fillId="6" borderId="0" xfId="0" applyFont="1" applyFill="1" applyAlignment="1">
      <alignment vertical="center" shrinkToFit="1"/>
    </xf>
    <xf numFmtId="0" fontId="41" fillId="6" borderId="0" xfId="0" applyFont="1" applyFill="1" applyAlignment="1">
      <alignment vertical="center"/>
    </xf>
    <xf numFmtId="0" fontId="41" fillId="0" borderId="0" xfId="0" applyFont="1" applyAlignment="1">
      <alignment vertical="center"/>
    </xf>
    <xf numFmtId="0" fontId="41" fillId="8" borderId="7" xfId="0" applyFont="1" applyFill="1" applyBorder="1" applyAlignment="1">
      <alignment horizontal="right" vertical="center" shrinkToFit="1"/>
    </xf>
    <xf numFmtId="0" fontId="41" fillId="0" borderId="0" xfId="0" applyFont="1" applyAlignment="1">
      <alignment vertical="center" shrinkToFit="1"/>
    </xf>
    <xf numFmtId="0" fontId="43" fillId="6" borderId="0" xfId="0" applyFont="1" applyFill="1" applyAlignment="1">
      <alignment horizontal="center" vertical="center" shrinkToFit="1"/>
    </xf>
    <xf numFmtId="0" fontId="40" fillId="2" borderId="5" xfId="0" applyFont="1" applyFill="1" applyBorder="1" applyAlignment="1">
      <alignment horizontal="right" vertical="center" shrinkToFit="1"/>
    </xf>
    <xf numFmtId="0" fontId="43" fillId="0" borderId="0" xfId="0" applyFont="1" applyAlignment="1">
      <alignment horizontal="center" vertical="center" shrinkToFit="1"/>
    </xf>
    <xf numFmtId="0" fontId="41" fillId="6" borderId="0" xfId="0" applyFont="1" applyFill="1" applyAlignment="1">
      <alignment vertical="center" textRotation="255" wrapText="1" shrinkToFit="1"/>
    </xf>
    <xf numFmtId="0" fontId="41" fillId="0" borderId="0" xfId="0" applyFont="1" applyAlignment="1">
      <alignment vertical="center" textRotation="255" wrapText="1" shrinkToFit="1"/>
    </xf>
    <xf numFmtId="0" fontId="43" fillId="2" borderId="6" xfId="0" applyFont="1" applyFill="1" applyBorder="1" applyAlignment="1">
      <alignment horizontal="center" vertical="center" shrinkToFit="1"/>
    </xf>
    <xf numFmtId="0" fontId="44" fillId="6" borderId="0" xfId="0" applyFont="1" applyFill="1" applyAlignment="1">
      <alignment vertical="center" shrinkToFit="1"/>
    </xf>
    <xf numFmtId="0" fontId="44" fillId="6" borderId="0" xfId="0" applyFont="1" applyFill="1" applyAlignment="1">
      <alignment vertical="center"/>
    </xf>
    <xf numFmtId="0" fontId="44" fillId="0" borderId="0" xfId="0" applyFont="1" applyAlignment="1">
      <alignment vertical="center"/>
    </xf>
    <xf numFmtId="0" fontId="0" fillId="12" borderId="0" xfId="0" applyFill="1" applyAlignment="1">
      <alignment vertical="center"/>
    </xf>
    <xf numFmtId="178" fontId="34" fillId="12" borderId="0" xfId="0" applyNumberFormat="1" applyFont="1" applyFill="1" applyAlignment="1">
      <alignment horizontal="center" vertical="center"/>
    </xf>
    <xf numFmtId="38" fontId="0" fillId="12" borderId="0" xfId="2" applyFont="1" applyFill="1" applyAlignment="1">
      <alignment horizontal="center" vertical="center"/>
    </xf>
    <xf numFmtId="38" fontId="0" fillId="12" borderId="0" xfId="2" applyFont="1" applyFill="1" applyAlignment="1">
      <alignment vertical="center" shrinkToFit="1"/>
    </xf>
    <xf numFmtId="0" fontId="0" fillId="12" borderId="0" xfId="0" applyFill="1" applyAlignment="1" applyProtection="1">
      <alignment horizontal="center" vertical="center"/>
      <protection locked="0"/>
    </xf>
    <xf numFmtId="38" fontId="0" fillId="12" borderId="0" xfId="2" applyFont="1" applyFill="1" applyAlignment="1">
      <alignment horizontal="center" vertical="center" shrinkToFit="1"/>
    </xf>
    <xf numFmtId="0" fontId="0" fillId="12" borderId="0" xfId="0" applyFill="1" applyAlignment="1">
      <alignment horizontal="center" vertical="center" shrinkToFit="1"/>
    </xf>
    <xf numFmtId="40" fontId="0" fillId="12" borderId="0" xfId="2" applyNumberFormat="1" applyFont="1" applyFill="1" applyAlignment="1">
      <alignment horizontal="center" vertical="center"/>
    </xf>
    <xf numFmtId="38" fontId="0" fillId="0" borderId="0" xfId="2" applyFont="1" applyFill="1" applyAlignment="1">
      <alignment horizontal="center" vertical="center"/>
    </xf>
    <xf numFmtId="49" fontId="0" fillId="0" borderId="0" xfId="2" applyNumberFormat="1" applyFont="1" applyFill="1" applyAlignment="1">
      <alignment horizontal="center" vertical="center"/>
    </xf>
    <xf numFmtId="49" fontId="0" fillId="0" borderId="0" xfId="2" applyNumberFormat="1" applyFont="1" applyAlignment="1">
      <alignment horizontal="center" vertical="center"/>
    </xf>
    <xf numFmtId="176" fontId="0" fillId="0" borderId="0" xfId="0" applyNumberFormat="1" applyAlignment="1">
      <alignment horizontal="center" vertical="center"/>
    </xf>
    <xf numFmtId="179" fontId="24" fillId="4" borderId="0" xfId="0" applyNumberFormat="1" applyFont="1" applyFill="1" applyAlignment="1">
      <alignment horizontal="center" vertical="center"/>
    </xf>
    <xf numFmtId="49" fontId="0" fillId="0" borderId="0" xfId="0" applyNumberFormat="1" applyAlignment="1">
      <alignment horizontal="center" vertical="center"/>
    </xf>
    <xf numFmtId="38" fontId="0" fillId="0" borderId="0" xfId="2" applyFont="1" applyAlignment="1">
      <alignment horizontal="left" vertical="center" shrinkToFit="1"/>
    </xf>
    <xf numFmtId="38" fontId="0" fillId="0" borderId="0" xfId="0" applyNumberFormat="1" applyAlignment="1">
      <alignment horizontal="center" vertical="center"/>
    </xf>
    <xf numFmtId="38" fontId="0" fillId="5" borderId="0" xfId="2" applyFont="1" applyFill="1" applyAlignment="1">
      <alignment horizontal="center" vertical="center"/>
    </xf>
    <xf numFmtId="38" fontId="0" fillId="5" borderId="0" xfId="2" applyFont="1" applyFill="1" applyAlignment="1">
      <alignment vertical="center" shrinkToFit="1"/>
    </xf>
    <xf numFmtId="0" fontId="0" fillId="5" borderId="0" xfId="0" applyFill="1" applyAlignment="1" applyProtection="1">
      <alignment horizontal="center" vertical="center"/>
      <protection locked="0"/>
    </xf>
    <xf numFmtId="38" fontId="0" fillId="5" borderId="0" xfId="2" applyFont="1" applyFill="1" applyAlignment="1">
      <alignment horizontal="center" vertical="center" shrinkToFit="1"/>
    </xf>
    <xf numFmtId="0" fontId="0" fillId="5" borderId="0" xfId="0" applyFill="1" applyAlignment="1">
      <alignment horizontal="center" vertical="center" shrinkToFit="1"/>
    </xf>
    <xf numFmtId="40" fontId="0" fillId="5" borderId="0" xfId="2" applyNumberFormat="1" applyFont="1" applyFill="1" applyAlignment="1">
      <alignment horizontal="center" vertical="center"/>
    </xf>
    <xf numFmtId="178" fontId="34" fillId="5" borderId="0" xfId="0" applyNumberFormat="1" applyFont="1" applyFill="1" applyAlignment="1">
      <alignment horizontal="center" vertical="center"/>
    </xf>
    <xf numFmtId="0" fontId="0" fillId="14" borderId="0" xfId="0" applyFill="1" applyAlignment="1">
      <alignment vertical="center"/>
    </xf>
    <xf numFmtId="0" fontId="34" fillId="14" borderId="0" xfId="0" applyFont="1" applyFill="1" applyAlignment="1">
      <alignment vertical="center"/>
    </xf>
    <xf numFmtId="178" fontId="34" fillId="14" borderId="0" xfId="0" applyNumberFormat="1" applyFont="1" applyFill="1" applyAlignment="1">
      <alignment horizontal="right" vertical="center"/>
    </xf>
    <xf numFmtId="0" fontId="0" fillId="15" borderId="0" xfId="0" applyFill="1" applyAlignment="1">
      <alignment vertical="center"/>
    </xf>
    <xf numFmtId="0" fontId="0" fillId="15" borderId="0" xfId="0" applyFill="1" applyAlignment="1">
      <alignment horizontal="right" vertical="center"/>
    </xf>
    <xf numFmtId="178" fontId="34" fillId="15" borderId="0" xfId="0" applyNumberFormat="1" applyFont="1" applyFill="1" applyAlignment="1">
      <alignment horizontal="center" vertical="center"/>
    </xf>
    <xf numFmtId="0" fontId="34" fillId="15" borderId="0" xfId="0" applyFont="1" applyFill="1" applyAlignment="1">
      <alignment vertical="center"/>
    </xf>
    <xf numFmtId="178" fontId="34" fillId="15" borderId="0" xfId="0" applyNumberFormat="1" applyFont="1" applyFill="1" applyAlignment="1">
      <alignment horizontal="right" vertical="center"/>
    </xf>
    <xf numFmtId="176" fontId="3" fillId="3" borderId="2" xfId="0" applyNumberFormat="1" applyFont="1" applyFill="1" applyBorder="1" applyAlignment="1">
      <alignment vertical="center"/>
    </xf>
    <xf numFmtId="176" fontId="0" fillId="3" borderId="2" xfId="0" applyNumberFormat="1" applyFill="1" applyBorder="1" applyAlignment="1">
      <alignment vertical="center"/>
    </xf>
    <xf numFmtId="176" fontId="5" fillId="3" borderId="0" xfId="0" applyNumberFormat="1" applyFont="1" applyFill="1" applyAlignment="1" applyProtection="1">
      <alignment vertical="center"/>
      <protection locked="0"/>
    </xf>
    <xf numFmtId="0" fontId="20" fillId="3" borderId="0" xfId="0" applyFont="1" applyFill="1" applyAlignment="1">
      <alignment horizontal="center" vertical="center"/>
    </xf>
    <xf numFmtId="179" fontId="46" fillId="3" borderId="0" xfId="0" applyNumberFormat="1" applyFont="1" applyFill="1" applyAlignment="1">
      <alignment horizontal="center" vertical="center"/>
    </xf>
    <xf numFmtId="176" fontId="46" fillId="3" borderId="0" xfId="0" applyNumberFormat="1" applyFont="1" applyFill="1" applyAlignment="1">
      <alignment horizontal="center" vertical="center"/>
    </xf>
    <xf numFmtId="176" fontId="3" fillId="4" borderId="2" xfId="0" applyNumberFormat="1" applyFont="1" applyFill="1" applyBorder="1" applyAlignment="1">
      <alignment vertical="center"/>
    </xf>
    <xf numFmtId="176" fontId="0" fillId="4" borderId="2" xfId="0" applyNumberFormat="1" applyFill="1" applyBorder="1" applyAlignment="1">
      <alignment vertical="center"/>
    </xf>
    <xf numFmtId="176" fontId="23" fillId="4" borderId="2" xfId="0" quotePrefix="1" applyNumberFormat="1" applyFont="1" applyFill="1" applyBorder="1" applyAlignment="1">
      <alignment horizontal="center" vertical="center"/>
    </xf>
    <xf numFmtId="176" fontId="22" fillId="4" borderId="2" xfId="0" applyNumberFormat="1" applyFont="1" applyFill="1" applyBorder="1" applyAlignment="1">
      <alignment horizontal="center" vertical="center"/>
    </xf>
    <xf numFmtId="38" fontId="24" fillId="4" borderId="0" xfId="2" applyFont="1" applyFill="1" applyBorder="1" applyAlignment="1">
      <alignment horizontal="center" vertical="center"/>
    </xf>
    <xf numFmtId="176" fontId="5" fillId="4" borderId="0" xfId="0" applyNumberFormat="1" applyFont="1" applyFill="1" applyAlignment="1" applyProtection="1">
      <alignment vertical="center" shrinkToFit="1"/>
      <protection locked="0"/>
    </xf>
    <xf numFmtId="176" fontId="21" fillId="4" borderId="4" xfId="0" applyNumberFormat="1" applyFont="1" applyFill="1" applyBorder="1" applyAlignment="1" applyProtection="1">
      <alignment horizontal="center" vertical="center" shrinkToFit="1"/>
      <protection locked="0"/>
    </xf>
    <xf numFmtId="176" fontId="5" fillId="2" borderId="0" xfId="0" applyNumberFormat="1" applyFont="1" applyFill="1" applyAlignment="1" applyProtection="1">
      <alignment vertical="center" shrinkToFit="1"/>
      <protection locked="0"/>
    </xf>
    <xf numFmtId="0" fontId="19" fillId="4" borderId="3" xfId="0" applyFont="1" applyFill="1" applyBorder="1" applyAlignment="1">
      <alignment horizontal="left" vertical="center"/>
    </xf>
    <xf numFmtId="0" fontId="0" fillId="0" borderId="0" xfId="0" applyAlignment="1">
      <alignment horizontal="left" vertical="center"/>
    </xf>
    <xf numFmtId="0" fontId="20" fillId="4" borderId="0" xfId="0" applyFont="1" applyFill="1" applyAlignment="1">
      <alignment horizontal="left" vertical="center"/>
    </xf>
    <xf numFmtId="176" fontId="0" fillId="0" borderId="0" xfId="2" applyNumberFormat="1" applyFont="1" applyAlignment="1">
      <alignment horizontal="left" vertical="center" shrinkToFit="1"/>
    </xf>
    <xf numFmtId="38" fontId="46" fillId="3" borderId="0" xfId="2" applyFont="1" applyFill="1" applyBorder="1" applyAlignment="1">
      <alignment horizontal="center" vertical="center"/>
    </xf>
    <xf numFmtId="180" fontId="0" fillId="0" borderId="0" xfId="2" applyNumberFormat="1" applyFont="1" applyFill="1" applyAlignment="1">
      <alignment horizontal="center" vertical="center"/>
    </xf>
    <xf numFmtId="0" fontId="43" fillId="0" borderId="0" xfId="0" applyFont="1" applyAlignment="1">
      <alignment vertical="center" shrinkToFit="1"/>
    </xf>
    <xf numFmtId="176" fontId="0" fillId="0" borderId="0" xfId="2" applyNumberFormat="1" applyFont="1" applyFill="1" applyAlignment="1">
      <alignment horizontal="center" vertical="center"/>
    </xf>
    <xf numFmtId="38" fontId="50" fillId="0" borderId="0" xfId="2" applyFont="1" applyBorder="1" applyAlignment="1">
      <alignment horizontal="center" vertical="top" textRotation="255" shrinkToFit="1"/>
    </xf>
    <xf numFmtId="38" fontId="51" fillId="0" borderId="0" xfId="2" applyFont="1" applyFill="1" applyAlignment="1">
      <alignment horizontal="center" vertical="center" shrinkToFit="1"/>
    </xf>
    <xf numFmtId="40" fontId="51" fillId="0" borderId="0" xfId="2" applyNumberFormat="1" applyFont="1" applyFill="1" applyAlignment="1">
      <alignment vertical="center" shrinkToFit="1"/>
    </xf>
    <xf numFmtId="178" fontId="53" fillId="14" borderId="11" xfId="2" applyNumberFormat="1" applyFont="1" applyFill="1" applyBorder="1" applyAlignment="1" applyProtection="1">
      <alignment horizontal="left" vertical="center" wrapText="1" shrinkToFit="1" readingOrder="1"/>
    </xf>
    <xf numFmtId="0" fontId="0" fillId="0" borderId="2" xfId="0" applyBorder="1" applyAlignment="1">
      <alignment vertical="center"/>
    </xf>
    <xf numFmtId="0" fontId="41" fillId="0" borderId="2" xfId="0" applyFont="1" applyBorder="1" applyAlignment="1">
      <alignment vertical="center"/>
    </xf>
    <xf numFmtId="0" fontId="0" fillId="3" borderId="2" xfId="0" applyFill="1" applyBorder="1" applyAlignment="1">
      <alignment horizontal="center" vertical="center" textRotation="255" shrinkToFit="1"/>
    </xf>
    <xf numFmtId="0" fontId="42" fillId="3" borderId="2" xfId="0" applyFont="1" applyFill="1" applyBorder="1" applyAlignment="1">
      <alignment horizontal="center" vertical="center" textRotation="255" shrinkToFit="1"/>
    </xf>
    <xf numFmtId="0" fontId="0" fillId="3" borderId="2" xfId="0" applyFill="1" applyBorder="1" applyAlignment="1">
      <alignment horizontal="center" vertical="center" textRotation="255"/>
    </xf>
    <xf numFmtId="0" fontId="41" fillId="16" borderId="2" xfId="0" applyFont="1" applyFill="1" applyBorder="1" applyAlignment="1">
      <alignment vertical="center" wrapText="1" shrinkToFit="1"/>
    </xf>
    <xf numFmtId="0" fontId="0" fillId="0" borderId="2" xfId="0" applyBorder="1"/>
    <xf numFmtId="0" fontId="0" fillId="3" borderId="2" xfId="0" applyFill="1" applyBorder="1" applyAlignment="1">
      <alignment horizontal="center" vertical="center" shrinkToFit="1"/>
    </xf>
    <xf numFmtId="0" fontId="41" fillId="17" borderId="2" xfId="0" applyFont="1" applyFill="1" applyBorder="1" applyAlignment="1">
      <alignment vertical="center" wrapText="1" shrinkToFit="1"/>
    </xf>
    <xf numFmtId="0" fontId="0" fillId="17" borderId="2" xfId="0" applyFill="1" applyBorder="1"/>
    <xf numFmtId="0" fontId="0" fillId="17" borderId="0" xfId="0" applyFill="1"/>
    <xf numFmtId="181" fontId="0" fillId="0" borderId="2" xfId="0" applyNumberFormat="1" applyBorder="1"/>
    <xf numFmtId="0" fontId="0" fillId="0" borderId="0" xfId="0" applyAlignment="1">
      <alignment horizontal="left"/>
    </xf>
    <xf numFmtId="0" fontId="49" fillId="13" borderId="8" xfId="0" applyFont="1" applyFill="1" applyBorder="1" applyAlignment="1">
      <alignment horizontal="center" vertical="center"/>
    </xf>
    <xf numFmtId="0" fontId="49" fillId="13" borderId="9" xfId="0" applyFont="1" applyFill="1" applyBorder="1" applyAlignment="1">
      <alignment horizontal="center" vertical="center"/>
    </xf>
    <xf numFmtId="0" fontId="49" fillId="13" borderId="10" xfId="0" applyFont="1" applyFill="1" applyBorder="1" applyAlignment="1">
      <alignment horizontal="center" vertical="center"/>
    </xf>
    <xf numFmtId="0" fontId="22" fillId="0" borderId="12" xfId="0" applyFont="1" applyBorder="1" applyAlignment="1">
      <alignment horizontal="left" vertical="center"/>
    </xf>
    <xf numFmtId="0" fontId="22" fillId="0" borderId="12" xfId="0" applyFont="1" applyBorder="1" applyAlignment="1">
      <alignment horizontal="center" vertical="center"/>
    </xf>
    <xf numFmtId="0" fontId="54" fillId="0" borderId="0" xfId="0" applyFont="1" applyAlignment="1">
      <alignment horizontal="left"/>
    </xf>
    <xf numFmtId="0" fontId="42" fillId="2" borderId="2" xfId="0" applyFont="1" applyFill="1" applyBorder="1" applyAlignment="1">
      <alignment horizontal="center" textRotation="255" shrinkToFit="1"/>
    </xf>
    <xf numFmtId="0" fontId="13" fillId="12" borderId="0" xfId="0" applyFont="1" applyFill="1" applyAlignment="1">
      <alignment horizontal="center" vertical="center"/>
    </xf>
    <xf numFmtId="0" fontId="8" fillId="7" borderId="2" xfId="0" applyFont="1" applyFill="1" applyBorder="1" applyAlignment="1" applyProtection="1">
      <alignment horizontal="center" vertical="center" shrinkToFit="1"/>
      <protection locked="0"/>
    </xf>
    <xf numFmtId="0" fontId="2" fillId="7" borderId="2" xfId="0" applyFont="1" applyFill="1" applyBorder="1" applyAlignment="1">
      <alignment horizontal="center" vertical="center" shrinkToFit="1"/>
    </xf>
    <xf numFmtId="0" fontId="16" fillId="12" borderId="0" xfId="0" applyFont="1" applyFill="1" applyAlignment="1">
      <alignment horizontal="center" vertical="center"/>
    </xf>
    <xf numFmtId="0" fontId="45" fillId="12" borderId="0" xfId="0" applyFont="1" applyFill="1" applyAlignment="1">
      <alignment horizontal="center" vertical="center"/>
    </xf>
    <xf numFmtId="0" fontId="45" fillId="5" borderId="0" xfId="0" applyFont="1" applyFill="1" applyAlignment="1">
      <alignment horizontal="center" vertical="center"/>
    </xf>
    <xf numFmtId="0" fontId="20" fillId="4" borderId="0" xfId="0" applyFont="1" applyFill="1" applyAlignment="1">
      <alignment horizontal="center" vertical="center"/>
    </xf>
    <xf numFmtId="0" fontId="20" fillId="4" borderId="1" xfId="0" applyFont="1" applyFill="1" applyBorder="1" applyAlignment="1">
      <alignment horizontal="center" vertical="center"/>
    </xf>
    <xf numFmtId="0" fontId="20" fillId="3" borderId="0" xfId="0" applyFont="1" applyFill="1" applyAlignment="1">
      <alignment horizontal="center" vertical="center"/>
    </xf>
    <xf numFmtId="0" fontId="20" fillId="3" borderId="1" xfId="0" applyFont="1" applyFill="1" applyBorder="1" applyAlignment="1">
      <alignment horizontal="center" vertical="center"/>
    </xf>
    <xf numFmtId="0" fontId="0" fillId="0" borderId="0" xfId="0" applyAlignment="1">
      <alignment horizontal="center" vertical="center"/>
    </xf>
    <xf numFmtId="0" fontId="0" fillId="0" borderId="0" xfId="0" applyFill="1" applyBorder="1" applyAlignment="1"/>
    <xf numFmtId="0" fontId="0" fillId="0" borderId="13" xfId="0" applyFill="1" applyBorder="1" applyAlignment="1"/>
    <xf numFmtId="0" fontId="0" fillId="0" borderId="14" xfId="0" applyFont="1" applyFill="1" applyBorder="1" applyAlignment="1">
      <alignment horizontal="center"/>
    </xf>
    <xf numFmtId="0" fontId="0" fillId="3" borderId="6" xfId="0" applyFill="1" applyBorder="1" applyAlignment="1">
      <alignment horizontal="center" vertical="center" shrinkToFit="1"/>
    </xf>
  </cellXfs>
  <cellStyles count="3">
    <cellStyle name="Comma [0]" xfId="2" builtinId="6"/>
    <cellStyle name="Normal" xfId="0" builtinId="0"/>
    <cellStyle name="標準 2" xfId="1" xr:uid="{00000000-0005-0000-0000-000002000000}"/>
  </cellStyles>
  <dxfs count="0"/>
  <tableStyles count="0" defaultTableStyle="TableStyleMedium2" defaultPivotStyle="PivotStyleLight16"/>
  <colors>
    <mruColors>
      <color rgb="FFFED9D2"/>
      <color rgb="FF022FEE"/>
      <color rgb="FFFFFF99"/>
      <color rgb="FFFEC358"/>
      <color rgb="FFFFE7E5"/>
      <color rgb="FFACFAFE"/>
      <color rgb="FF7293FE"/>
      <color rgb="FFF8A45E"/>
      <color rgb="FFFDBFB3"/>
      <color rgb="FF619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94548119157012E-2"/>
          <c:y val="4.4940874884212507E-2"/>
          <c:w val="0.92375131835413793"/>
          <c:h val="0.91693501071287897"/>
        </c:manualLayout>
      </c:layout>
      <c:scatterChart>
        <c:scatterStyle val="lineMarker"/>
        <c:varyColors val="0"/>
        <c:ser>
          <c:idx val="0"/>
          <c:order val="0"/>
          <c:tx>
            <c:v>防御率</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Roto!$P$5</c:f>
              <c:numCache>
                <c:formatCode>#,##0.00_);[Red]\(#,##0.00\)</c:formatCode>
                <c:ptCount val="1"/>
                <c:pt idx="0">
                  <c:v>-0.9870122156260589</c:v>
                </c:pt>
              </c:numCache>
            </c:numRef>
          </c:xVal>
          <c:yVal>
            <c:numRef>
              <c:f>Roto!$Q$5</c:f>
              <c:numCache>
                <c:formatCode>#,##0.00_);[Red]\(#,##0.00\)</c:formatCode>
                <c:ptCount val="1"/>
                <c:pt idx="0">
                  <c:v>0.18480335860674213</c:v>
                </c:pt>
              </c:numCache>
            </c:numRef>
          </c:yVal>
          <c:smooth val="0"/>
          <c:extLst>
            <c:ext xmlns:c16="http://schemas.microsoft.com/office/drawing/2014/chart" uri="{C3380CC4-5D6E-409C-BE32-E72D297353CC}">
              <c16:uniqueId val="{00000008-FA51-4884-9615-80FC10AFE9BB}"/>
            </c:ext>
          </c:extLst>
        </c:ser>
        <c:ser>
          <c:idx val="1"/>
          <c:order val="1"/>
          <c:tx>
            <c:v>勝率</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Roto!$P$6</c:f>
              <c:numCache>
                <c:formatCode>#,##0.00_);[Red]\(#,##0.00\)</c:formatCode>
                <c:ptCount val="1"/>
                <c:pt idx="0">
                  <c:v>-0.99</c:v>
                </c:pt>
              </c:numCache>
            </c:numRef>
          </c:xVal>
          <c:yVal>
            <c:numRef>
              <c:f>Roto!$Q$6</c:f>
              <c:numCache>
                <c:formatCode>#,##0.00_);[Red]\(#,##0.00\)</c:formatCode>
                <c:ptCount val="1"/>
                <c:pt idx="0">
                  <c:v>-0.28471276840760151</c:v>
                </c:pt>
              </c:numCache>
            </c:numRef>
          </c:yVal>
          <c:smooth val="0"/>
          <c:extLst>
            <c:ext xmlns:c16="http://schemas.microsoft.com/office/drawing/2014/chart" uri="{C3380CC4-5D6E-409C-BE32-E72D297353CC}">
              <c16:uniqueId val="{00000009-FA51-4884-9615-80FC10AFE9BB}"/>
            </c:ext>
          </c:extLst>
        </c:ser>
        <c:ser>
          <c:idx val="2"/>
          <c:order val="2"/>
          <c:tx>
            <c:v>被安打</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Roto!$P$7</c:f>
              <c:numCache>
                <c:formatCode>#,##0.00_);[Red]\(#,##0.00\)</c:formatCode>
                <c:ptCount val="1"/>
                <c:pt idx="0">
                  <c:v>-0.40841455656602876</c:v>
                </c:pt>
              </c:numCache>
            </c:numRef>
          </c:xVal>
          <c:yVal>
            <c:numRef>
              <c:f>Roto!$Q$7</c:f>
              <c:numCache>
                <c:formatCode>#,##0.00_);[Red]\(#,##0.00\)</c:formatCode>
                <c:ptCount val="1"/>
                <c:pt idx="0">
                  <c:v>0.48040565308334782</c:v>
                </c:pt>
              </c:numCache>
            </c:numRef>
          </c:yVal>
          <c:smooth val="0"/>
          <c:extLst>
            <c:ext xmlns:c16="http://schemas.microsoft.com/office/drawing/2014/chart" uri="{C3380CC4-5D6E-409C-BE32-E72D297353CC}">
              <c16:uniqueId val="{0000000A-FA51-4884-9615-80FC10AFE9BB}"/>
            </c:ext>
          </c:extLst>
        </c:ser>
        <c:ser>
          <c:idx val="3"/>
          <c:order val="3"/>
          <c:tx>
            <c:v>被本塁打</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Roto!$P$8</c:f>
              <c:numCache>
                <c:formatCode>#,##0.00_);[Red]\(#,##0.00\)</c:formatCode>
                <c:ptCount val="1"/>
                <c:pt idx="0">
                  <c:v>-0.53157839440892862</c:v>
                </c:pt>
              </c:numCache>
            </c:numRef>
          </c:xVal>
          <c:yVal>
            <c:numRef>
              <c:f>Roto!$Q$8</c:f>
              <c:numCache>
                <c:formatCode>#,##0.00_);[Red]\(#,##0.00\)</c:formatCode>
                <c:ptCount val="1"/>
                <c:pt idx="0">
                  <c:v>-0.84286732758990746</c:v>
                </c:pt>
              </c:numCache>
            </c:numRef>
          </c:yVal>
          <c:smooth val="0"/>
          <c:extLst>
            <c:ext xmlns:c16="http://schemas.microsoft.com/office/drawing/2014/chart" uri="{C3380CC4-5D6E-409C-BE32-E72D297353CC}">
              <c16:uniqueId val="{0000000B-FA51-4884-9615-80FC10AFE9BB}"/>
            </c:ext>
          </c:extLst>
        </c:ser>
        <c:ser>
          <c:idx val="4"/>
          <c:order val="4"/>
          <c:tx>
            <c:v>三振</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Roto!$P$9</c:f>
              <c:numCache>
                <c:formatCode>#,##0.00_);[Red]\(#,##0.00\)</c:formatCode>
                <c:ptCount val="1"/>
                <c:pt idx="0">
                  <c:v>-3.5192816002466272E-2</c:v>
                </c:pt>
              </c:numCache>
            </c:numRef>
          </c:xVal>
          <c:yVal>
            <c:numRef>
              <c:f>Roto!$Q$9</c:f>
              <c:numCache>
                <c:formatCode>#,##0.00_);[Red]\(#,##0.00\)</c:formatCode>
                <c:ptCount val="1"/>
                <c:pt idx="0">
                  <c:v>-0.99</c:v>
                </c:pt>
              </c:numCache>
            </c:numRef>
          </c:yVal>
          <c:smooth val="0"/>
          <c:extLst>
            <c:ext xmlns:c16="http://schemas.microsoft.com/office/drawing/2014/chart" uri="{C3380CC4-5D6E-409C-BE32-E72D297353CC}">
              <c16:uniqueId val="{0000000C-FA51-4884-9615-80FC10AFE9BB}"/>
            </c:ext>
          </c:extLst>
        </c:ser>
        <c:ser>
          <c:idx val="5"/>
          <c:order val="5"/>
          <c:tx>
            <c:v>四球</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Roto!$P$10</c:f>
              <c:numCache>
                <c:formatCode>#,##0.00_);[Red]\(#,##0.00\)</c:formatCode>
                <c:ptCount val="1"/>
                <c:pt idx="0">
                  <c:v>0.92683726513491704</c:v>
                </c:pt>
              </c:numCache>
            </c:numRef>
          </c:xVal>
          <c:yVal>
            <c:numRef>
              <c:f>Roto!$Q$10</c:f>
              <c:numCache>
                <c:formatCode>#,##0.00_);[Red]\(#,##0.00\)</c:formatCode>
                <c:ptCount val="1"/>
                <c:pt idx="0">
                  <c:v>0.96010768763037624</c:v>
                </c:pt>
              </c:numCache>
            </c:numRef>
          </c:yVal>
          <c:smooth val="0"/>
          <c:extLst>
            <c:ext xmlns:c16="http://schemas.microsoft.com/office/drawing/2014/chart" uri="{C3380CC4-5D6E-409C-BE32-E72D297353CC}">
              <c16:uniqueId val="{0000000D-FA51-4884-9615-80FC10AFE9BB}"/>
            </c:ext>
          </c:extLst>
        </c:ser>
        <c:ser>
          <c:idx val="6"/>
          <c:order val="6"/>
          <c:tx>
            <c:v>死球</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Roto!$P$11</c:f>
              <c:numCache>
                <c:formatCode>#,##0.00_);[Red]\(#,##0.00\)</c:formatCode>
                <c:ptCount val="1"/>
                <c:pt idx="0">
                  <c:v>-6.3860013105125988E-3</c:v>
                </c:pt>
              </c:numCache>
            </c:numRef>
          </c:xVal>
          <c:yVal>
            <c:numRef>
              <c:f>Roto!$Q$11</c:f>
              <c:numCache>
                <c:formatCode>#,##0.00_);[Red]\(#,##0.00\)</c:formatCode>
                <c:ptCount val="1"/>
                <c:pt idx="0">
                  <c:v>0.7099506386125809</c:v>
                </c:pt>
              </c:numCache>
            </c:numRef>
          </c:yVal>
          <c:smooth val="0"/>
          <c:extLst>
            <c:ext xmlns:c16="http://schemas.microsoft.com/office/drawing/2014/chart" uri="{C3380CC4-5D6E-409C-BE32-E72D297353CC}">
              <c16:uniqueId val="{0000000E-FA51-4884-9615-80FC10AFE9BB}"/>
            </c:ext>
          </c:extLst>
        </c:ser>
        <c:dLbls>
          <c:showLegendKey val="0"/>
          <c:showVal val="0"/>
          <c:showCatName val="0"/>
          <c:showSerName val="0"/>
          <c:showPercent val="0"/>
          <c:showBubbleSize val="0"/>
        </c:dLbls>
        <c:axId val="229599104"/>
        <c:axId val="230236160"/>
      </c:scatterChart>
      <c:valAx>
        <c:axId val="229599104"/>
        <c:scaling>
          <c:orientation val="minMax"/>
          <c:max val="1"/>
          <c:min val="-1"/>
        </c:scaling>
        <c:delete val="0"/>
        <c:axPos val="b"/>
        <c:majorGridlines>
          <c:spPr>
            <a:ln w="9525" cap="flat" cmpd="sng" algn="ctr">
              <a:solidFill>
                <a:schemeClr val="tx1">
                  <a:lumMod val="15000"/>
                  <a:lumOff val="85000"/>
                </a:schemeClr>
              </a:solidFill>
              <a:round/>
            </a:ln>
            <a:effectLst/>
          </c:spPr>
        </c:majorGridlines>
        <c:numFmt formatCode="#,##0.0;[Red]\-#,##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30236160"/>
        <c:crosses val="autoZero"/>
        <c:crossBetween val="midCat"/>
        <c:majorUnit val="0.2"/>
      </c:valAx>
      <c:valAx>
        <c:axId val="230236160"/>
        <c:scaling>
          <c:orientation val="minMax"/>
          <c:max val="1"/>
          <c:min val="-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9599104"/>
        <c:crosses val="autoZero"/>
        <c:crossBetween val="midCat"/>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94548119157012E-2"/>
          <c:y val="4.4940874884212507E-2"/>
          <c:w val="0.92375131835413793"/>
          <c:h val="0.91693501071287897"/>
        </c:manualLayout>
      </c:layout>
      <c:scatterChart>
        <c:scatterStyle val="lineMarker"/>
        <c:varyColors val="0"/>
        <c:ser>
          <c:idx val="0"/>
          <c:order val="0"/>
          <c:tx>
            <c:v>阪神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Roto_C!$P$5</c:f>
              <c:numCache>
                <c:formatCode>#,##0.00_);[Red]\(#,##0.00\)</c:formatCode>
                <c:ptCount val="1"/>
                <c:pt idx="0">
                  <c:v>-0.87072376490145909</c:v>
                </c:pt>
              </c:numCache>
            </c:numRef>
          </c:xVal>
          <c:yVal>
            <c:numRef>
              <c:f>Roto_C!$Q$5</c:f>
              <c:numCache>
                <c:formatCode>#,##0.00_);[Red]\(#,##0.00\)</c:formatCode>
                <c:ptCount val="1"/>
                <c:pt idx="0">
                  <c:v>-0.27238711240647329</c:v>
                </c:pt>
              </c:numCache>
            </c:numRef>
          </c:yVal>
          <c:smooth val="0"/>
          <c:extLst>
            <c:ext xmlns:c16="http://schemas.microsoft.com/office/drawing/2014/chart" uri="{C3380CC4-5D6E-409C-BE32-E72D297353CC}">
              <c16:uniqueId val="{0000002F-B62F-484F-AD51-901614CD464F}"/>
            </c:ext>
          </c:extLst>
        </c:ser>
        <c:ser>
          <c:idx val="1"/>
          <c:order val="1"/>
          <c:tx>
            <c:v>巨人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Roto_C!$P$6</c:f>
              <c:numCache>
                <c:formatCode>#,##0.00_);[Red]\(#,##0.00\)</c:formatCode>
                <c:ptCount val="1"/>
                <c:pt idx="0">
                  <c:v>-0.99</c:v>
                </c:pt>
              </c:numCache>
            </c:numRef>
          </c:xVal>
          <c:yVal>
            <c:numRef>
              <c:f>Roto_C!$Q$6</c:f>
              <c:numCache>
                <c:formatCode>#,##0.00_);[Red]\(#,##0.00\)</c:formatCode>
                <c:ptCount val="1"/>
                <c:pt idx="0">
                  <c:v>9.5226693268221516E-2</c:v>
                </c:pt>
              </c:numCache>
            </c:numRef>
          </c:yVal>
          <c:smooth val="0"/>
          <c:extLst>
            <c:ext xmlns:c16="http://schemas.microsoft.com/office/drawing/2014/chart" uri="{C3380CC4-5D6E-409C-BE32-E72D297353CC}">
              <c16:uniqueId val="{00000030-B62F-484F-AD51-901614CD464F}"/>
            </c:ext>
          </c:extLst>
        </c:ser>
        <c:ser>
          <c:idx val="2"/>
          <c:order val="2"/>
          <c:tx>
            <c:v>中日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Roto_C!$P$7</c:f>
              <c:numCache>
                <c:formatCode>#,##0.00_);[Red]\(#,##0.00\)</c:formatCode>
                <c:ptCount val="1"/>
                <c:pt idx="0">
                  <c:v>-0.47102105767948543</c:v>
                </c:pt>
              </c:numCache>
            </c:numRef>
          </c:xVal>
          <c:yVal>
            <c:numRef>
              <c:f>Roto_C!$Q$7</c:f>
              <c:numCache>
                <c:formatCode>#,##0.00_);[Red]\(#,##0.00\)</c:formatCode>
                <c:ptCount val="1"/>
                <c:pt idx="0">
                  <c:v>0.27093533987526897</c:v>
                </c:pt>
              </c:numCache>
            </c:numRef>
          </c:yVal>
          <c:smooth val="0"/>
          <c:extLst>
            <c:ext xmlns:c16="http://schemas.microsoft.com/office/drawing/2014/chart" uri="{C3380CC4-5D6E-409C-BE32-E72D297353CC}">
              <c16:uniqueId val="{00000031-B62F-484F-AD51-901614CD464F}"/>
            </c:ext>
          </c:extLst>
        </c:ser>
        <c:ser>
          <c:idx val="3"/>
          <c:order val="3"/>
          <c:tx>
            <c:v>ヤクルト</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Roto_C!$P$8</c:f>
              <c:numCache>
                <c:formatCode>#,##0.00_);[Red]\(#,##0.00\)</c:formatCode>
                <c:ptCount val="1"/>
                <c:pt idx="0">
                  <c:v>-0.16176992582602456</c:v>
                </c:pt>
              </c:numCache>
            </c:numRef>
          </c:xVal>
          <c:yVal>
            <c:numRef>
              <c:f>Roto_C!$Q$8</c:f>
              <c:numCache>
                <c:formatCode>#,##0.00_);[Red]\(#,##0.00\)</c:formatCode>
                <c:ptCount val="1"/>
                <c:pt idx="0">
                  <c:v>0.73792606852191689</c:v>
                </c:pt>
              </c:numCache>
            </c:numRef>
          </c:yVal>
          <c:smooth val="0"/>
          <c:extLst>
            <c:ext xmlns:c16="http://schemas.microsoft.com/office/drawing/2014/chart" uri="{C3380CC4-5D6E-409C-BE32-E72D297353CC}">
              <c16:uniqueId val="{00000032-B62F-484F-AD51-901614CD464F}"/>
            </c:ext>
          </c:extLst>
        </c:ser>
        <c:ser>
          <c:idx val="4"/>
          <c:order val="4"/>
          <c:tx>
            <c:v>広島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Roto_C!$P$9</c:f>
              <c:numCache>
                <c:formatCode>#,##0.00_);[Red]\(#,##0.00\)</c:formatCode>
                <c:ptCount val="1"/>
                <c:pt idx="0">
                  <c:v>-0.31791955700613539</c:v>
                </c:pt>
              </c:numCache>
            </c:numRef>
          </c:xVal>
          <c:yVal>
            <c:numRef>
              <c:f>Roto_C!$Q$9</c:f>
              <c:numCache>
                <c:formatCode>#,##0.00_);[Red]\(#,##0.00\)</c:formatCode>
                <c:ptCount val="1"/>
                <c:pt idx="0">
                  <c:v>0.25783118005606442</c:v>
                </c:pt>
              </c:numCache>
            </c:numRef>
          </c:yVal>
          <c:smooth val="0"/>
          <c:extLst>
            <c:ext xmlns:c16="http://schemas.microsoft.com/office/drawing/2014/chart" uri="{C3380CC4-5D6E-409C-BE32-E72D297353CC}">
              <c16:uniqueId val="{00000033-B62F-484F-AD51-901614CD464F}"/>
            </c:ext>
          </c:extLst>
        </c:ser>
        <c:ser>
          <c:idx val="5"/>
          <c:order val="5"/>
          <c:tx>
            <c:v>横浜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Roto_C!$P$10</c:f>
              <c:numCache>
                <c:formatCode>#,##0.00_);[Red]\(#,##0.00\)</c:formatCode>
                <c:ptCount val="1"/>
                <c:pt idx="0">
                  <c:v>1.0025575109368459</c:v>
                </c:pt>
              </c:numCache>
            </c:numRef>
          </c:xVal>
          <c:yVal>
            <c:numRef>
              <c:f>Roto_C!$Q$10</c:f>
              <c:numCache>
                <c:formatCode>#,##0.00_);[Red]\(#,##0.00\)</c:formatCode>
                <c:ptCount val="1"/>
                <c:pt idx="0">
                  <c:v>-6.1702518453994666E-2</c:v>
                </c:pt>
              </c:numCache>
            </c:numRef>
          </c:yVal>
          <c:smooth val="0"/>
          <c:extLst>
            <c:ext xmlns:c16="http://schemas.microsoft.com/office/drawing/2014/chart" uri="{C3380CC4-5D6E-409C-BE32-E72D297353CC}">
              <c16:uniqueId val="{00000034-B62F-484F-AD51-901614CD464F}"/>
            </c:ext>
          </c:extLst>
        </c:ser>
        <c:ser>
          <c:idx val="6"/>
          <c:order val="6"/>
          <c:tx>
            <c:v>日本ハム</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Roto_C!$P$11</c:f>
              <c:numCache>
                <c:formatCode>#,##0.00_);[Red]\(#,##0.00\)</c:formatCode>
                <c:ptCount val="1"/>
                <c:pt idx="0">
                  <c:v>-0.44264644275942766</c:v>
                </c:pt>
              </c:numCache>
            </c:numRef>
          </c:xVal>
          <c:yVal>
            <c:numRef>
              <c:f>Roto_C!$Q$11</c:f>
              <c:numCache>
                <c:formatCode>#,##0.00_);[Red]\(#,##0.00\)</c:formatCode>
                <c:ptCount val="1"/>
                <c:pt idx="0">
                  <c:v>0.9952253288161006</c:v>
                </c:pt>
              </c:numCache>
            </c:numRef>
          </c:yVal>
          <c:smooth val="0"/>
          <c:extLst>
            <c:ext xmlns:c16="http://schemas.microsoft.com/office/drawing/2014/chart" uri="{C3380CC4-5D6E-409C-BE32-E72D297353CC}">
              <c16:uniqueId val="{00000035-B62F-484F-AD51-901614CD464F}"/>
            </c:ext>
          </c:extLst>
        </c:ser>
        <c:ser>
          <c:idx val="7"/>
          <c:order val="7"/>
          <c:tx>
            <c:v>西武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Roto_C!$P$12</c:f>
              <c:numCache>
                <c:formatCode>#,##0.00_);[Red]\(#,##0.00\)</c:formatCode>
                <c:ptCount val="1"/>
                <c:pt idx="0">
                  <c:v>-0.17447339536142326</c:v>
                </c:pt>
              </c:numCache>
            </c:numRef>
          </c:xVal>
          <c:yVal>
            <c:numRef>
              <c:f>Roto_C!$Q$12</c:f>
              <c:numCache>
                <c:formatCode>#,##0.00_);[Red]\(#,##0.00\)</c:formatCode>
                <c:ptCount val="1"/>
                <c:pt idx="0">
                  <c:v>-0.70857345653846782</c:v>
                </c:pt>
              </c:numCache>
            </c:numRef>
          </c:yVal>
          <c:smooth val="0"/>
          <c:extLst>
            <c:ext xmlns:c16="http://schemas.microsoft.com/office/drawing/2014/chart" uri="{C3380CC4-5D6E-409C-BE32-E72D297353CC}">
              <c16:uniqueId val="{00000036-B62F-484F-AD51-901614CD464F}"/>
            </c:ext>
          </c:extLst>
        </c:ser>
        <c:ser>
          <c:idx val="8"/>
          <c:order val="8"/>
          <c:tx>
            <c:v>楽天　　</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Roto_C!$P$13</c:f>
              <c:numCache>
                <c:formatCode>#,##0.00_);[Red]\(#,##0.00\)</c:formatCode>
                <c:ptCount val="1"/>
                <c:pt idx="0">
                  <c:v>-0.43447495989062979</c:v>
                </c:pt>
              </c:numCache>
            </c:numRef>
          </c:xVal>
          <c:yVal>
            <c:numRef>
              <c:f>Roto_C!$Q$13</c:f>
              <c:numCache>
                <c:formatCode>#,##0.00_);[Red]\(#,##0.00\)</c:formatCode>
                <c:ptCount val="1"/>
                <c:pt idx="0">
                  <c:v>-0.99</c:v>
                </c:pt>
              </c:numCache>
            </c:numRef>
          </c:yVal>
          <c:smooth val="0"/>
          <c:extLst>
            <c:ext xmlns:c16="http://schemas.microsoft.com/office/drawing/2014/chart" uri="{C3380CC4-5D6E-409C-BE32-E72D297353CC}">
              <c16:uniqueId val="{00000037-B62F-484F-AD51-901614CD464F}"/>
            </c:ext>
          </c:extLst>
        </c:ser>
        <c:ser>
          <c:idx val="9"/>
          <c:order val="9"/>
          <c:tx>
            <c:v>オリックス</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Roto_C!$P$14</c:f>
              <c:numCache>
                <c:formatCode>#,##0.00_);[Red]\(#,##0.00\)</c:formatCode>
                <c:ptCount val="1"/>
                <c:pt idx="0">
                  <c:v>-0.19669173760331427</c:v>
                </c:pt>
              </c:numCache>
            </c:numRef>
          </c:xVal>
          <c:yVal>
            <c:numRef>
              <c:f>Roto_C!$Q$14</c:f>
              <c:numCache>
                <c:formatCode>#,##0.00_);[Red]\(#,##0.00\)</c:formatCode>
                <c:ptCount val="1"/>
                <c:pt idx="0">
                  <c:v>0.51917376570315144</c:v>
                </c:pt>
              </c:numCache>
            </c:numRef>
          </c:yVal>
          <c:smooth val="0"/>
          <c:extLst>
            <c:ext xmlns:c16="http://schemas.microsoft.com/office/drawing/2014/chart" uri="{C3380CC4-5D6E-409C-BE32-E72D297353CC}">
              <c16:uniqueId val="{00000038-B62F-484F-AD51-901614CD464F}"/>
            </c:ext>
          </c:extLst>
        </c:ser>
        <c:ser>
          <c:idx val="10"/>
          <c:order val="10"/>
          <c:tx>
            <c:v>ソフトバンク</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Roto_C!$P$15</c:f>
              <c:numCache>
                <c:formatCode>#,##0.00_);[Red]\(#,##0.00\)</c:formatCode>
                <c:ptCount val="1"/>
                <c:pt idx="0">
                  <c:v>-0.20020304409736422</c:v>
                </c:pt>
              </c:numCache>
            </c:numRef>
          </c:xVal>
          <c:yVal>
            <c:numRef>
              <c:f>Roto_C!$Q$15</c:f>
              <c:numCache>
                <c:formatCode>#,##0.00_);[Red]\(#,##0.00\)</c:formatCode>
                <c:ptCount val="1"/>
                <c:pt idx="0">
                  <c:v>-0.35599307119262424</c:v>
                </c:pt>
              </c:numCache>
            </c:numRef>
          </c:yVal>
          <c:smooth val="0"/>
          <c:extLst>
            <c:ext xmlns:c16="http://schemas.microsoft.com/office/drawing/2014/chart" uri="{C3380CC4-5D6E-409C-BE32-E72D297353CC}">
              <c16:uniqueId val="{00000039-B62F-484F-AD51-901614CD464F}"/>
            </c:ext>
          </c:extLst>
        </c:ser>
        <c:ser>
          <c:idx val="11"/>
          <c:order val="11"/>
          <c:tx>
            <c:v>千葉ロッテ</c:v>
          </c:tx>
          <c:spPr>
            <a:ln w="34290">
              <a:noFill/>
            </a:ln>
          </c:spPr>
          <c:dLbls>
            <c:spPr>
              <a:noFill/>
              <a:ln>
                <a:noFill/>
              </a:ln>
              <a:effectLst/>
            </c:spPr>
            <c:txPr>
              <a:bodyPr wrap="square" lIns="38100" tIns="19050" rIns="38100" bIns="19050" anchor="ctr">
                <a:spAutoFit/>
              </a:bodyPr>
              <a:lstStyle/>
              <a:p>
                <a:pPr>
                  <a:defRPr lang="ja-JP"/>
                </a:pPr>
                <a:endParaRPr lang="ja-JP"/>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Roto_C!$P$16</c:f>
              <c:numCache>
                <c:formatCode>#,##0.00_);[Red]\(#,##0.00\)</c:formatCode>
                <c:ptCount val="1"/>
                <c:pt idx="0">
                  <c:v>-0.22399152882836737</c:v>
                </c:pt>
              </c:numCache>
            </c:numRef>
          </c:xVal>
          <c:yVal>
            <c:numRef>
              <c:f>Roto_C!$Q$16</c:f>
              <c:numCache>
                <c:formatCode>#,##0.00_);[Red]\(#,##0.00\)</c:formatCode>
                <c:ptCount val="1"/>
                <c:pt idx="0">
                  <c:v>0.36395775016521048</c:v>
                </c:pt>
              </c:numCache>
            </c:numRef>
          </c:yVal>
          <c:smooth val="0"/>
          <c:extLst>
            <c:ext xmlns:c16="http://schemas.microsoft.com/office/drawing/2014/chart" uri="{C3380CC4-5D6E-409C-BE32-E72D297353CC}">
              <c16:uniqueId val="{0000003A-B62F-484F-AD51-901614CD464F}"/>
            </c:ext>
          </c:extLst>
        </c:ser>
        <c:dLbls>
          <c:showLegendKey val="0"/>
          <c:showVal val="0"/>
          <c:showCatName val="0"/>
          <c:showSerName val="0"/>
          <c:showPercent val="0"/>
          <c:showBubbleSize val="0"/>
        </c:dLbls>
        <c:axId val="175010176"/>
        <c:axId val="175011712"/>
      </c:scatterChart>
      <c:valAx>
        <c:axId val="175010176"/>
        <c:scaling>
          <c:orientation val="minMax"/>
          <c:max val="1"/>
          <c:min val="-1"/>
        </c:scaling>
        <c:delete val="0"/>
        <c:axPos val="b"/>
        <c:majorGridlines>
          <c:spPr>
            <a:ln w="9525" cap="flat" cmpd="sng" algn="ctr">
              <a:solidFill>
                <a:schemeClr val="tx1">
                  <a:lumMod val="15000"/>
                  <a:lumOff val="85000"/>
                </a:schemeClr>
              </a:solidFill>
              <a:round/>
            </a:ln>
            <a:effectLst/>
          </c:spPr>
        </c:majorGridlines>
        <c:numFmt formatCode="#,##0.0;[Red]\-#,##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5011712"/>
        <c:crosses val="autoZero"/>
        <c:crossBetween val="midCat"/>
        <c:majorUnit val="0.2"/>
      </c:valAx>
      <c:valAx>
        <c:axId val="175011712"/>
        <c:scaling>
          <c:orientation val="minMax"/>
          <c:max val="1"/>
          <c:min val="-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5010176"/>
        <c:crosses val="autoZero"/>
        <c:crossBetween val="midCat"/>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000000000000011" l="0.70000000000000007" r="0.70000000000000007" t="0.75000000000000011" header="0.30000000000000004" footer="0.30000000000000004"/>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_xlchart.v1.5</cx:f>
      </cx:numDim>
    </cx:data>
  </cx:chartData>
  <cx:chart>
    <cx:title pos="t" align="ctr" overlay="0"/>
    <cx:plotArea>
      <cx:plotAreaRegion>
        <cx:series layoutId="clusteredColumn" uniqueId="{92B69B22-0626-4A6A-A96F-F41E3FF797BE}">
          <cx:tx>
            <cx:txData>
              <cx:f>_xlchart.v1.4</cx:f>
              <cx:v>握力（kg）</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 dir="row">_xlchart.v1.1</cx:f>
      </cx:numDim>
    </cx:data>
  </cx:chartData>
  <cx:chart>
    <cx:title pos="t" align="ctr" overlay="0">
      <cx:tx>
        <cx:txData>
          <cx:v>Chart Title</cx:v>
        </cx:txData>
      </cx:tx>
    </cx:title>
    <cx:plotArea>
      <cx:plotAreaRegion>
        <cx:series layoutId="boxWhisker" uniqueId="{48529F5E-CB24-41C7-B4C6-6358EA73A5F3}">
          <cx:dataId val="0"/>
          <cx:layoutPr>
            <cx:visibility meanLine="0" meanMarker="0" nonoutliers="0" outliers="1"/>
            <cx:statistics quartileMethod="exclusive"/>
          </cx:layoutPr>
        </cx:series>
      </cx:plotAreaRegion>
      <cx:axis id="0">
        <cx:catScaling gapWidth="1.10000002"/>
        <cx:tickLabels/>
      </cx:axis>
      <cx:axis id="1">
        <cx:valScaling max="17.5" min="16"/>
        <cx:majorGridlines/>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 dir="row">_xlchart.v1.8</cx:f>
      </cx:numDim>
    </cx:data>
  </cx:chartData>
  <cx:chart>
    <cx:title pos="t" align="ctr" overlay="0"/>
    <cx:plotArea>
      <cx:plotAreaRegion>
        <cx:series layoutId="clusteredColumn" uniqueId="{4CCF3D2C-DA01-4ABF-9A25-0902EFFED2A7}">
          <cx:dataId val="0"/>
          <cx:layoutPr>
            <cx:binning intervalClosed="r">
              <cx:binCount val="12"/>
            </cx:binning>
          </cx:layoutPr>
        </cx:series>
      </cx:plotAreaRegion>
      <cx:axis id="0">
        <cx:catScaling gapWidth="0.219999999"/>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9">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07">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ln>
        <a:solidFill>
          <a:schemeClr val="phClr"/>
        </a:solidFill>
      </a:ln>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6</xdr:row>
          <xdr:rowOff>19050</xdr:rowOff>
        </xdr:from>
        <xdr:to>
          <xdr:col>5</xdr:col>
          <xdr:colOff>1352550</xdr:colOff>
          <xdr:row>6</xdr:row>
          <xdr:rowOff>323850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000-0000050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8000"/>
                  </a:solidFill>
                  <a:latin typeface="ＭＳ Ｐゴシック"/>
                  <a:ea typeface="ＭＳ Ｐゴシック"/>
                </a:rPr>
                <a:t>第１主成分解釈へ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1371600</xdr:colOff>
          <xdr:row>6</xdr:row>
          <xdr:rowOff>19050</xdr:rowOff>
        </xdr:from>
        <xdr:to>
          <xdr:col>5</xdr:col>
          <xdr:colOff>2314575</xdr:colOff>
          <xdr:row>6</xdr:row>
          <xdr:rowOff>323850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000-000006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8000"/>
                  </a:solidFill>
                  <a:latin typeface="ＭＳ Ｐゴシック"/>
                  <a:ea typeface="ＭＳ Ｐゴシック"/>
                </a:rPr>
                <a:t>第２主成分へ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5</xdr:row>
          <xdr:rowOff>19050</xdr:rowOff>
        </xdr:from>
        <xdr:to>
          <xdr:col>6</xdr:col>
          <xdr:colOff>0</xdr:colOff>
          <xdr:row>6</xdr:row>
          <xdr:rowOff>0</xdr:rowOff>
        </xdr:to>
        <xdr:sp macro="" textlink="">
          <xdr:nvSpPr>
            <xdr:cNvPr id="67596" name="Button 12" hidden="1">
              <a:extLst>
                <a:ext uri="{63B3BB69-23CF-44E3-9099-C40C66FF867C}">
                  <a14:compatExt spid="_x0000_s67596"/>
                </a:ext>
                <a:ext uri="{FF2B5EF4-FFF2-40B4-BE49-F238E27FC236}">
                  <a16:creationId xmlns:a16="http://schemas.microsoft.com/office/drawing/2014/main" id="{00000000-0008-0000-0000-00000C0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固有値の観察（Igenへ）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19050</xdr:rowOff>
        </xdr:from>
        <xdr:to>
          <xdr:col>6</xdr:col>
          <xdr:colOff>0</xdr:colOff>
          <xdr:row>4</xdr:row>
          <xdr:rowOff>295275</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00000000-0008-0000-0000-00000D0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元データへ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7</xdr:row>
          <xdr:rowOff>19050</xdr:rowOff>
        </xdr:from>
        <xdr:to>
          <xdr:col>6</xdr:col>
          <xdr:colOff>0</xdr:colOff>
          <xdr:row>7</xdr:row>
          <xdr:rowOff>409575</xdr:rowOff>
        </xdr:to>
        <xdr:sp macro="" textlink="">
          <xdr:nvSpPr>
            <xdr:cNvPr id="67625" name="Button 41" hidden="1">
              <a:extLst>
                <a:ext uri="{63B3BB69-23CF-44E3-9099-C40C66FF867C}">
                  <a14:compatExt spid="_x0000_s67625"/>
                </a:ext>
                <a:ext uri="{FF2B5EF4-FFF2-40B4-BE49-F238E27FC236}">
                  <a16:creationId xmlns:a16="http://schemas.microsoft.com/office/drawing/2014/main" id="{00000000-0008-0000-0000-0000290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FF"/>
                  </a:solidFill>
                  <a:latin typeface="ＭＳ Ｐゴシック"/>
                  <a:ea typeface="ＭＳ Ｐゴシック"/>
                </a:rPr>
                <a:t>簡易RotoPlotへ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48</xdr:col>
      <xdr:colOff>300037</xdr:colOff>
      <xdr:row>0</xdr:row>
      <xdr:rowOff>400050</xdr:rowOff>
    </xdr:from>
    <xdr:to>
      <xdr:col>55</xdr:col>
      <xdr:colOff>604837</xdr:colOff>
      <xdr:row>9</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6F30F4F-8600-961E-6F29-47727C22D37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5084087" y="400050"/>
              <a:ext cx="4572000" cy="2743200"/>
            </a:xfrm>
            <a:prstGeom prst="rect">
              <a:avLst/>
            </a:prstGeom>
            <a:solidFill>
              <a:prstClr val="white"/>
            </a:solidFill>
            <a:ln w="1">
              <a:solidFill>
                <a:prstClr val="green"/>
              </a:solidFill>
            </a:ln>
          </xdr:spPr>
          <xdr:txBody>
            <a:bodyPr vertOverflow="clip" horzOverflow="clip"/>
            <a:lstStyle/>
            <a:p>
              <a:r>
                <a:rPr lang="ja-JP" alt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44</xdr:col>
      <xdr:colOff>12045</xdr:colOff>
      <xdr:row>11</xdr:row>
      <xdr:rowOff>56029</xdr:rowOff>
    </xdr:from>
    <xdr:to>
      <xdr:col>52</xdr:col>
      <xdr:colOff>168928</xdr:colOff>
      <xdr:row>37</xdr:row>
      <xdr:rowOff>153520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4513F6F-CF6A-DBB5-4007-D16C246B797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2715163" y="3619500"/>
              <a:ext cx="4549589" cy="4176432"/>
            </a:xfrm>
            <a:prstGeom prst="rect">
              <a:avLst/>
            </a:prstGeom>
            <a:solidFill>
              <a:prstClr val="white"/>
            </a:solidFill>
            <a:ln w="1">
              <a:solidFill>
                <a:prstClr val="green"/>
              </a:solidFill>
            </a:ln>
          </xdr:spPr>
          <xdr:txBody>
            <a:bodyPr vertOverflow="clip" horzOverflow="clip"/>
            <a:lstStyle/>
            <a:p>
              <a:r>
                <a:rPr lang="ja-JP" alt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379319</xdr:colOff>
      <xdr:row>11</xdr:row>
      <xdr:rowOff>112059</xdr:rowOff>
    </xdr:from>
    <xdr:to>
      <xdr:col>27</xdr:col>
      <xdr:colOff>369794</xdr:colOff>
      <xdr:row>35</xdr:row>
      <xdr:rowOff>76761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C531205D-A162-601C-FB96-805A46F3D63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837084" y="3675530"/>
              <a:ext cx="4921063" cy="3729878"/>
            </a:xfrm>
            <a:prstGeom prst="rect">
              <a:avLst/>
            </a:prstGeom>
            <a:solidFill>
              <a:prstClr val="white"/>
            </a:solidFill>
            <a:ln w="1">
              <a:solidFill>
                <a:prstClr val="green"/>
              </a:solidFill>
            </a:ln>
          </xdr:spPr>
          <xdr:txBody>
            <a:bodyPr vertOverflow="clip" horzOverflow="clip"/>
            <a:lstStyle/>
            <a:p>
              <a:r>
                <a:rPr lang="ja-JP" alt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xdr:row>
          <xdr:rowOff>0</xdr:rowOff>
        </xdr:from>
        <xdr:to>
          <xdr:col>5</xdr:col>
          <xdr:colOff>0</xdr:colOff>
          <xdr:row>8</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400-0000010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xdr:row>
          <xdr:rowOff>142875</xdr:rowOff>
        </xdr:from>
        <xdr:to>
          <xdr:col>5</xdr:col>
          <xdr:colOff>0</xdr:colOff>
          <xdr:row>7</xdr:row>
          <xdr:rowOff>247650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400-0000030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000000"/>
                  </a:solidFill>
                  <a:latin typeface="ＭＳ Ｐゴシック"/>
                  <a:ea typeface="ＭＳ Ｐゴシック"/>
                </a:rPr>
                <a:t>主成分分析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76200</xdr:rowOff>
        </xdr:from>
        <xdr:to>
          <xdr:col>6</xdr:col>
          <xdr:colOff>1171575</xdr:colOff>
          <xdr:row>0</xdr:row>
          <xdr:rowOff>323850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0500-00000344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6</xdr:col>
      <xdr:colOff>992719</xdr:colOff>
      <xdr:row>42</xdr:row>
      <xdr:rowOff>70907</xdr:rowOff>
    </xdr:to>
    <xdr:graphicFrame macro="">
      <xdr:nvGraphicFramePr>
        <xdr:cNvPr id="32" name="グラフ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28574</xdr:colOff>
      <xdr:row>18</xdr:row>
      <xdr:rowOff>104777</xdr:rowOff>
    </xdr:from>
    <xdr:to>
      <xdr:col>5</xdr:col>
      <xdr:colOff>28574</xdr:colOff>
      <xdr:row>18</xdr:row>
      <xdr:rowOff>104777</xdr:rowOff>
    </xdr:to>
    <xdr:cxnSp macro="">
      <xdr:nvCxnSpPr>
        <xdr:cNvPr id="17" name="直線コネクタ 16">
          <a:extLst>
            <a:ext uri="{FF2B5EF4-FFF2-40B4-BE49-F238E27FC236}">
              <a16:creationId xmlns:a16="http://schemas.microsoft.com/office/drawing/2014/main" id="{00000000-0008-0000-0600-000011000000}"/>
            </a:ext>
          </a:extLst>
        </xdr:cNvPr>
        <xdr:cNvCxnSpPr/>
      </xdr:nvCxnSpPr>
      <xdr:spPr>
        <a:xfrm flipV="1">
          <a:off x="3457574" y="3314702"/>
          <a:ext cx="0" cy="0"/>
        </a:xfrm>
        <a:prstGeom prst="line">
          <a:avLst/>
        </a:prstGeom>
        <a:scene3d>
          <a:camera prst="orthographicFront">
            <a:rot lat="0" lon="1200000" rev="0"/>
          </a:camera>
          <a:lightRig rig="threePt" dir="t"/>
        </a:scene3d>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552450</xdr:colOff>
      <xdr:row>2</xdr:row>
      <xdr:rowOff>63500</xdr:rowOff>
    </xdr:from>
    <xdr:to>
      <xdr:col>3</xdr:col>
      <xdr:colOff>552450</xdr:colOff>
      <xdr:row>40</xdr:row>
      <xdr:rowOff>104775</xdr:rowOff>
    </xdr:to>
    <xdr:cxnSp macro="">
      <xdr:nvCxnSpPr>
        <xdr:cNvPr id="5" name="直線矢印コネクタ 4">
          <a:extLst>
            <a:ext uri="{FF2B5EF4-FFF2-40B4-BE49-F238E27FC236}">
              <a16:creationId xmlns:a16="http://schemas.microsoft.com/office/drawing/2014/main" id="{00000000-0008-0000-0600-000005000000}"/>
            </a:ext>
          </a:extLst>
        </xdr:cNvPr>
        <xdr:cNvCxnSpPr/>
      </xdr:nvCxnSpPr>
      <xdr:spPr bwMode="auto">
        <a:xfrm>
          <a:off x="3810000" y="406400"/>
          <a:ext cx="0" cy="6832600"/>
        </a:xfrm>
        <a:prstGeom prst="straightConnector1">
          <a:avLst/>
        </a:prstGeom>
        <a:ln w="28575">
          <a:headEnd type="none" w="med" len="med"/>
          <a:tailEnd type="none" w="med" len="med"/>
        </a:ln>
      </xdr:spPr>
      <xdr:style>
        <a:lnRef idx="2">
          <a:schemeClr val="accent5"/>
        </a:lnRef>
        <a:fillRef idx="0">
          <a:schemeClr val="accent5"/>
        </a:fillRef>
        <a:effectRef idx="1">
          <a:schemeClr val="accent5"/>
        </a:effectRef>
        <a:fontRef idx="minor">
          <a:schemeClr val="tx1"/>
        </a:fontRef>
      </xdr:style>
    </xdr:cxnSp>
    <xdr:clientData/>
  </xdr:twoCellAnchor>
  <xdr:twoCellAnchor>
    <xdr:from>
      <xdr:col>3</xdr:col>
      <xdr:colOff>552450</xdr:colOff>
      <xdr:row>2</xdr:row>
      <xdr:rowOff>63500</xdr:rowOff>
    </xdr:from>
    <xdr:to>
      <xdr:col>3</xdr:col>
      <xdr:colOff>552450</xdr:colOff>
      <xdr:row>40</xdr:row>
      <xdr:rowOff>104775</xdr:rowOff>
    </xdr:to>
    <xdr:cxnSp macro="">
      <xdr:nvCxnSpPr>
        <xdr:cNvPr id="6" name="Y軸">
          <a:extLst>
            <a:ext uri="{FF2B5EF4-FFF2-40B4-BE49-F238E27FC236}">
              <a16:creationId xmlns:a16="http://schemas.microsoft.com/office/drawing/2014/main" id="{00000000-0008-0000-0600-000006000000}"/>
            </a:ext>
          </a:extLst>
        </xdr:cNvPr>
        <xdr:cNvCxnSpPr/>
      </xdr:nvCxnSpPr>
      <xdr:spPr bwMode="auto">
        <a:xfrm>
          <a:off x="3810000" y="406400"/>
          <a:ext cx="0" cy="6832600"/>
        </a:xfrm>
        <a:prstGeom prst="straightConnector1">
          <a:avLst/>
        </a:prstGeom>
        <a:ln>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0</xdr:col>
      <xdr:colOff>381000</xdr:colOff>
      <xdr:row>21</xdr:row>
      <xdr:rowOff>139700</xdr:rowOff>
    </xdr:from>
    <xdr:to>
      <xdr:col>6</xdr:col>
      <xdr:colOff>723900</xdr:colOff>
      <xdr:row>21</xdr:row>
      <xdr:rowOff>139700</xdr:rowOff>
    </xdr:to>
    <xdr:cxnSp macro="">
      <xdr:nvCxnSpPr>
        <xdr:cNvPr id="7" name="直線矢印コネクタ 6">
          <a:extLst>
            <a:ext uri="{FF2B5EF4-FFF2-40B4-BE49-F238E27FC236}">
              <a16:creationId xmlns:a16="http://schemas.microsoft.com/office/drawing/2014/main" id="{00000000-0008-0000-0600-000007000000}"/>
            </a:ext>
          </a:extLst>
        </xdr:cNvPr>
        <xdr:cNvCxnSpPr/>
      </xdr:nvCxnSpPr>
      <xdr:spPr bwMode="auto">
        <a:xfrm>
          <a:off x="381000" y="3835400"/>
          <a:ext cx="6858000" cy="0"/>
        </a:xfrm>
        <a:prstGeom prst="straightConnector1">
          <a:avLst/>
        </a:prstGeom>
        <a:ln w="28575">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381000</xdr:colOff>
      <xdr:row>21</xdr:row>
      <xdr:rowOff>139700</xdr:rowOff>
    </xdr:from>
    <xdr:to>
      <xdr:col>6</xdr:col>
      <xdr:colOff>723900</xdr:colOff>
      <xdr:row>21</xdr:row>
      <xdr:rowOff>139700</xdr:rowOff>
    </xdr:to>
    <xdr:cxnSp macro="">
      <xdr:nvCxnSpPr>
        <xdr:cNvPr id="8" name="X軸">
          <a:extLst>
            <a:ext uri="{FF2B5EF4-FFF2-40B4-BE49-F238E27FC236}">
              <a16:creationId xmlns:a16="http://schemas.microsoft.com/office/drawing/2014/main" id="{00000000-0008-0000-0600-000008000000}"/>
            </a:ext>
          </a:extLst>
        </xdr:cNvPr>
        <xdr:cNvCxnSpPr/>
      </xdr:nvCxnSpPr>
      <xdr:spPr bwMode="auto">
        <a:xfrm>
          <a:off x="381000" y="3858260"/>
          <a:ext cx="7063740" cy="0"/>
        </a:xfrm>
        <a:prstGeom prst="straightConnector1">
          <a:avLst/>
        </a:prstGeom>
        <a:solidFill>
          <a:srgbClr val="FFFFFF"/>
        </a:solidFill>
        <a:ln w="9525" cap="flat" cmpd="sng" algn="ctr">
          <a:solidFill>
            <a:srgbClr val="FF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editAs="oneCell">
        <xdr:from>
          <xdr:col>9</xdr:col>
          <xdr:colOff>133350</xdr:colOff>
          <xdr:row>2</xdr:row>
          <xdr:rowOff>95250</xdr:rowOff>
        </xdr:from>
        <xdr:to>
          <xdr:col>10</xdr:col>
          <xdr:colOff>400050</xdr:colOff>
          <xdr:row>4</xdr:row>
          <xdr:rowOff>114300</xdr:rowOff>
        </xdr:to>
        <xdr:sp macro="" textlink="">
          <xdr:nvSpPr>
            <xdr:cNvPr id="119819" name="Button 11" hidden="1">
              <a:extLst>
                <a:ext uri="{63B3BB69-23CF-44E3-9099-C40C66FF867C}">
                  <a14:compatExt spid="_x0000_s119819"/>
                </a:ext>
                <a:ext uri="{FF2B5EF4-FFF2-40B4-BE49-F238E27FC236}">
                  <a16:creationId xmlns:a16="http://schemas.microsoft.com/office/drawing/2014/main" id="{00000000-0008-0000-0600-00000B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xdr:row>
          <xdr:rowOff>95250</xdr:rowOff>
        </xdr:from>
        <xdr:to>
          <xdr:col>12</xdr:col>
          <xdr:colOff>552450</xdr:colOff>
          <xdr:row>4</xdr:row>
          <xdr:rowOff>114300</xdr:rowOff>
        </xdr:to>
        <xdr:sp macro="" textlink="">
          <xdr:nvSpPr>
            <xdr:cNvPr id="119820" name="Button 12" hidden="1">
              <a:extLst>
                <a:ext uri="{63B3BB69-23CF-44E3-9099-C40C66FF867C}">
                  <a14:compatExt spid="_x0000_s119820"/>
                </a:ext>
                <a:ext uri="{FF2B5EF4-FFF2-40B4-BE49-F238E27FC236}">
                  <a16:creationId xmlns:a16="http://schemas.microsoft.com/office/drawing/2014/main" id="{00000000-0008-0000-0600-00000C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5</xdr:row>
          <xdr:rowOff>28575</xdr:rowOff>
        </xdr:from>
        <xdr:to>
          <xdr:col>12</xdr:col>
          <xdr:colOff>552450</xdr:colOff>
          <xdr:row>7</xdr:row>
          <xdr:rowOff>104775</xdr:rowOff>
        </xdr:to>
        <xdr:sp macro="" textlink="">
          <xdr:nvSpPr>
            <xdr:cNvPr id="119821" name="Button 13" hidden="1">
              <a:extLst>
                <a:ext uri="{63B3BB69-23CF-44E3-9099-C40C66FF867C}">
                  <a14:compatExt spid="_x0000_s119821"/>
                </a:ext>
                <a:ext uri="{FF2B5EF4-FFF2-40B4-BE49-F238E27FC236}">
                  <a16:creationId xmlns:a16="http://schemas.microsoft.com/office/drawing/2014/main" id="{00000000-0008-0000-0600-00000DD4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t>
              </a:r>
            </a:p>
            <a:p>
              <a:pPr algn="ctr" rtl="0">
                <a:defRPr sz="1000"/>
              </a:pPr>
              <a:r>
                <a:rPr lang="ja-JP" altLang="en-US" sz="1100" b="1" i="0" u="none" strike="noStrike" baseline="0">
                  <a:solidFill>
                    <a:srgbClr val="000000"/>
                  </a:solidFill>
                  <a:latin typeface="ＭＳ Ｐゴシック"/>
                  <a:ea typeface="ＭＳ Ｐゴシック"/>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7</xdr:row>
          <xdr:rowOff>142875</xdr:rowOff>
        </xdr:from>
        <xdr:to>
          <xdr:col>12</xdr:col>
          <xdr:colOff>552450</xdr:colOff>
          <xdr:row>10</xdr:row>
          <xdr:rowOff>95250</xdr:rowOff>
        </xdr:to>
        <xdr:sp macro="" textlink="">
          <xdr:nvSpPr>
            <xdr:cNvPr id="119822" name="Button 14" hidden="1">
              <a:extLst>
                <a:ext uri="{63B3BB69-23CF-44E3-9099-C40C66FF867C}">
                  <a14:compatExt spid="_x0000_s119822"/>
                </a:ext>
                <a:ext uri="{FF2B5EF4-FFF2-40B4-BE49-F238E27FC236}">
                  <a16:creationId xmlns:a16="http://schemas.microsoft.com/office/drawing/2014/main" id="{00000000-0008-0000-0600-00000ED4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X</a:t>
              </a:r>
            </a:p>
            <a:p>
              <a:pPr algn="ctr" rtl="0">
                <a:defRPr sz="1000"/>
              </a:pPr>
              <a:r>
                <a:rPr lang="ja-JP" altLang="en-US" sz="1100" b="1"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14</xdr:row>
          <xdr:rowOff>19050</xdr:rowOff>
        </xdr:from>
        <xdr:to>
          <xdr:col>12</xdr:col>
          <xdr:colOff>590550</xdr:colOff>
          <xdr:row>16</xdr:row>
          <xdr:rowOff>152400</xdr:rowOff>
        </xdr:to>
        <xdr:sp macro="" textlink="">
          <xdr:nvSpPr>
            <xdr:cNvPr id="119823" name="Button 15" hidden="1">
              <a:extLst>
                <a:ext uri="{63B3BB69-23CF-44E3-9099-C40C66FF867C}">
                  <a14:compatExt spid="_x0000_s119823"/>
                </a:ext>
                <a:ext uri="{FF2B5EF4-FFF2-40B4-BE49-F238E27FC236}">
                  <a16:creationId xmlns:a16="http://schemas.microsoft.com/office/drawing/2014/main" id="{00000000-0008-0000-0600-00000F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FF"/>
                  </a:solidFill>
                  <a:latin typeface="ＭＳ Ｐゴシック"/>
                  <a:ea typeface="ＭＳ Ｐゴシック"/>
                </a:rPr>
                <a:t>Roto回転後のグラフ更新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11</xdr:row>
          <xdr:rowOff>57150</xdr:rowOff>
        </xdr:from>
        <xdr:to>
          <xdr:col>12</xdr:col>
          <xdr:colOff>38100</xdr:colOff>
          <xdr:row>13</xdr:row>
          <xdr:rowOff>133350</xdr:rowOff>
        </xdr:to>
        <xdr:sp macro="" textlink="">
          <xdr:nvSpPr>
            <xdr:cNvPr id="119825" name="Button 17" hidden="1">
              <a:extLst>
                <a:ext uri="{63B3BB69-23CF-44E3-9099-C40C66FF867C}">
                  <a14:compatExt spid="_x0000_s119825"/>
                </a:ext>
                <a:ext uri="{FF2B5EF4-FFF2-40B4-BE49-F238E27FC236}">
                  <a16:creationId xmlns:a16="http://schemas.microsoft.com/office/drawing/2014/main" id="{00000000-0008-0000-0600-000011D4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FF"/>
                  </a:solidFill>
                  <a:latin typeface="ＭＳ Ｐゴシック"/>
                  <a:ea typeface="ＭＳ Ｐゴシック"/>
                </a:rPr>
                <a:t>XYを初期値に戻す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21</xdr:row>
          <xdr:rowOff>28575</xdr:rowOff>
        </xdr:from>
        <xdr:to>
          <xdr:col>12</xdr:col>
          <xdr:colOff>590550</xdr:colOff>
          <xdr:row>24</xdr:row>
          <xdr:rowOff>171450</xdr:rowOff>
        </xdr:to>
        <xdr:sp macro="" textlink="">
          <xdr:nvSpPr>
            <xdr:cNvPr id="119826" name="Button 18" hidden="1">
              <a:extLst>
                <a:ext uri="{63B3BB69-23CF-44E3-9099-C40C66FF867C}">
                  <a14:compatExt spid="_x0000_s119826"/>
                </a:ext>
                <a:ext uri="{FF2B5EF4-FFF2-40B4-BE49-F238E27FC236}">
                  <a16:creationId xmlns:a16="http://schemas.microsoft.com/office/drawing/2014/main" id="{00000000-0008-0000-0600-000012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ＭＳ Ｐゴシック"/>
                  <a:ea typeface="ＭＳ Ｐゴシック"/>
                </a:rPr>
                <a:t>グラフを初期値に戻す</a:t>
              </a:r>
            </a:p>
            <a:p>
              <a:pPr algn="ctr" rtl="0">
                <a:defRPr sz="1000"/>
              </a:pPr>
              <a:r>
                <a:rPr lang="ja-JP" altLang="en-US" sz="1200" b="0" i="0" u="none" strike="noStrike" baseline="0">
                  <a:solidFill>
                    <a:srgbClr val="000000"/>
                  </a:solidFill>
                  <a:latin typeface="ＭＳ Ｐゴシック"/>
                  <a:ea typeface="ＭＳ Ｐゴシック"/>
                </a:rPr>
                <a:t>（カテゴリ・グラフの値による）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17</xdr:row>
          <xdr:rowOff>28575</xdr:rowOff>
        </xdr:from>
        <xdr:to>
          <xdr:col>12</xdr:col>
          <xdr:colOff>57150</xdr:colOff>
          <xdr:row>20</xdr:row>
          <xdr:rowOff>142875</xdr:rowOff>
        </xdr:to>
        <xdr:sp macro="" textlink="">
          <xdr:nvSpPr>
            <xdr:cNvPr id="119872" name="Button 64" hidden="1">
              <a:extLst>
                <a:ext uri="{63B3BB69-23CF-44E3-9099-C40C66FF867C}">
                  <a14:compatExt spid="_x0000_s119872"/>
                </a:ext>
                <a:ext uri="{FF2B5EF4-FFF2-40B4-BE49-F238E27FC236}">
                  <a16:creationId xmlns:a16="http://schemas.microsoft.com/office/drawing/2014/main" id="{00000000-0008-0000-0600-000040D4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9900"/>
                  </a:solidFill>
                  <a:latin typeface="ＭＳ Ｐゴシック"/>
                  <a:ea typeface="ＭＳ Ｐゴシック"/>
                </a:rPr>
                <a:t>Rotoグラフ</a:t>
              </a:r>
            </a:p>
            <a:p>
              <a:pPr algn="ctr" rtl="0">
                <a:defRPr sz="1000"/>
              </a:pPr>
              <a:r>
                <a:rPr lang="ja-JP" altLang="en-US" sz="1200" b="1" i="0" u="none" strike="noStrike" baseline="0">
                  <a:solidFill>
                    <a:srgbClr val="FF9900"/>
                  </a:solidFill>
                  <a:latin typeface="ＭＳ Ｐゴシック"/>
                  <a:ea typeface="ＭＳ Ｐゴシック"/>
                </a:rPr>
                <a:t>回転後の再解釈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28</xdr:row>
          <xdr:rowOff>104775</xdr:rowOff>
        </xdr:from>
        <xdr:to>
          <xdr:col>12</xdr:col>
          <xdr:colOff>485775</xdr:colOff>
          <xdr:row>30</xdr:row>
          <xdr:rowOff>180975</xdr:rowOff>
        </xdr:to>
        <xdr:sp macro="" textlink="">
          <xdr:nvSpPr>
            <xdr:cNvPr id="119873" name="Button 65" hidden="1">
              <a:extLst>
                <a:ext uri="{63B3BB69-23CF-44E3-9099-C40C66FF867C}">
                  <a14:compatExt spid="_x0000_s119873"/>
                </a:ext>
                <a:ext uri="{FF2B5EF4-FFF2-40B4-BE49-F238E27FC236}">
                  <a16:creationId xmlns:a16="http://schemas.microsoft.com/office/drawing/2014/main" id="{00000000-0008-0000-0600-000041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Rotoケース・グラフへ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31</xdr:row>
          <xdr:rowOff>38100</xdr:rowOff>
        </xdr:from>
        <xdr:to>
          <xdr:col>12</xdr:col>
          <xdr:colOff>514350</xdr:colOff>
          <xdr:row>33</xdr:row>
          <xdr:rowOff>95250</xdr:rowOff>
        </xdr:to>
        <xdr:sp macro="" textlink="">
          <xdr:nvSpPr>
            <xdr:cNvPr id="119874" name="Button 66" hidden="1">
              <a:extLst>
                <a:ext uri="{63B3BB69-23CF-44E3-9099-C40C66FF867C}">
                  <a14:compatExt spid="_x0000_s119874"/>
                </a:ext>
                <a:ext uri="{FF2B5EF4-FFF2-40B4-BE49-F238E27FC236}">
                  <a16:creationId xmlns:a16="http://schemas.microsoft.com/office/drawing/2014/main" id="{00000000-0008-0000-0600-000042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26</xdr:row>
          <xdr:rowOff>19050</xdr:rowOff>
        </xdr:from>
        <xdr:to>
          <xdr:col>10</xdr:col>
          <xdr:colOff>57150</xdr:colOff>
          <xdr:row>28</xdr:row>
          <xdr:rowOff>95250</xdr:rowOff>
        </xdr:to>
        <xdr:sp macro="" textlink="">
          <xdr:nvSpPr>
            <xdr:cNvPr id="119875" name="Button 67" hidden="1">
              <a:extLst>
                <a:ext uri="{63B3BB69-23CF-44E3-9099-C40C66FF867C}">
                  <a14:compatExt spid="_x0000_s119875"/>
                </a:ext>
                <a:ext uri="{FF2B5EF4-FFF2-40B4-BE49-F238E27FC236}">
                  <a16:creationId xmlns:a16="http://schemas.microsoft.com/office/drawing/2014/main" id="{00000000-0008-0000-0600-000043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X軸解釈へ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26</xdr:row>
          <xdr:rowOff>19050</xdr:rowOff>
        </xdr:from>
        <xdr:to>
          <xdr:col>12</xdr:col>
          <xdr:colOff>485775</xdr:colOff>
          <xdr:row>28</xdr:row>
          <xdr:rowOff>95250</xdr:rowOff>
        </xdr:to>
        <xdr:sp macro="" textlink="">
          <xdr:nvSpPr>
            <xdr:cNvPr id="119876" name="Button 68" hidden="1">
              <a:extLst>
                <a:ext uri="{63B3BB69-23CF-44E3-9099-C40C66FF867C}">
                  <a14:compatExt spid="_x0000_s119876"/>
                </a:ext>
                <a:ext uri="{FF2B5EF4-FFF2-40B4-BE49-F238E27FC236}">
                  <a16:creationId xmlns:a16="http://schemas.microsoft.com/office/drawing/2014/main" id="{00000000-0008-0000-0600-000044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Ｙ軸解釈へ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33</xdr:row>
          <xdr:rowOff>142875</xdr:rowOff>
        </xdr:from>
        <xdr:to>
          <xdr:col>12</xdr:col>
          <xdr:colOff>514350</xdr:colOff>
          <xdr:row>35</xdr:row>
          <xdr:rowOff>171450</xdr:rowOff>
        </xdr:to>
        <xdr:sp macro="" textlink="">
          <xdr:nvSpPr>
            <xdr:cNvPr id="119877" name="Button 69" hidden="1">
              <a:extLst>
                <a:ext uri="{63B3BB69-23CF-44E3-9099-C40C66FF867C}">
                  <a14:compatExt spid="_x0000_s119877"/>
                </a:ext>
                <a:ext uri="{FF2B5EF4-FFF2-40B4-BE49-F238E27FC236}">
                  <a16:creationId xmlns:a16="http://schemas.microsoft.com/office/drawing/2014/main" id="{00000000-0008-0000-0600-000045D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800000"/>
                  </a:solidFill>
                  <a:latin typeface="ＭＳ Ｐゴシック"/>
                  <a:ea typeface="ＭＳ Ｐゴシック"/>
                </a:rPr>
                <a:t>元データへ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6</xdr:col>
      <xdr:colOff>992719</xdr:colOff>
      <xdr:row>42</xdr:row>
      <xdr:rowOff>70907</xdr:rowOff>
    </xdr:to>
    <xdr:graphicFrame macro="">
      <xdr:nvGraphicFramePr>
        <xdr:cNvPr id="2" name="グラフ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28574</xdr:colOff>
      <xdr:row>18</xdr:row>
      <xdr:rowOff>104777</xdr:rowOff>
    </xdr:from>
    <xdr:to>
      <xdr:col>5</xdr:col>
      <xdr:colOff>28574</xdr:colOff>
      <xdr:row>18</xdr:row>
      <xdr:rowOff>104777</xdr:rowOff>
    </xdr:to>
    <xdr:cxnSp macro="">
      <xdr:nvCxnSpPr>
        <xdr:cNvPr id="3" name="直線コネクタ 2">
          <a:extLst>
            <a:ext uri="{FF2B5EF4-FFF2-40B4-BE49-F238E27FC236}">
              <a16:creationId xmlns:a16="http://schemas.microsoft.com/office/drawing/2014/main" id="{00000000-0008-0000-0700-000003000000}"/>
            </a:ext>
          </a:extLst>
        </xdr:cNvPr>
        <xdr:cNvCxnSpPr/>
      </xdr:nvCxnSpPr>
      <xdr:spPr>
        <a:xfrm flipV="1">
          <a:off x="5629274" y="3274697"/>
          <a:ext cx="0" cy="0"/>
        </a:xfrm>
        <a:prstGeom prst="line">
          <a:avLst/>
        </a:prstGeom>
        <a:scene3d>
          <a:camera prst="orthographicFront">
            <a:rot lat="0" lon="1200000" rev="0"/>
          </a:camera>
          <a:lightRig rig="threePt" dir="t"/>
        </a:scene3d>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552450</xdr:colOff>
      <xdr:row>2</xdr:row>
      <xdr:rowOff>63500</xdr:rowOff>
    </xdr:from>
    <xdr:to>
      <xdr:col>3</xdr:col>
      <xdr:colOff>552450</xdr:colOff>
      <xdr:row>40</xdr:row>
      <xdr:rowOff>104775</xdr:rowOff>
    </xdr:to>
    <xdr:cxnSp macro="">
      <xdr:nvCxnSpPr>
        <xdr:cNvPr id="12" name="直線矢印コネクタ 11">
          <a:extLst>
            <a:ext uri="{FF2B5EF4-FFF2-40B4-BE49-F238E27FC236}">
              <a16:creationId xmlns:a16="http://schemas.microsoft.com/office/drawing/2014/main" id="{00000000-0008-0000-0700-00000C000000}"/>
            </a:ext>
          </a:extLst>
        </xdr:cNvPr>
        <xdr:cNvCxnSpPr/>
      </xdr:nvCxnSpPr>
      <xdr:spPr bwMode="auto">
        <a:xfrm>
          <a:off x="3912870" y="398780"/>
          <a:ext cx="0" cy="6899275"/>
        </a:xfrm>
        <a:prstGeom prst="straightConnector1">
          <a:avLst/>
        </a:prstGeom>
        <a:ln w="28575">
          <a:headEnd type="none" w="med" len="med"/>
          <a:tailEnd type="none" w="med" len="med"/>
        </a:ln>
      </xdr:spPr>
      <xdr:style>
        <a:lnRef idx="2">
          <a:schemeClr val="accent5"/>
        </a:lnRef>
        <a:fillRef idx="0">
          <a:schemeClr val="accent5"/>
        </a:fillRef>
        <a:effectRef idx="1">
          <a:schemeClr val="accent5"/>
        </a:effectRef>
        <a:fontRef idx="minor">
          <a:schemeClr val="tx1"/>
        </a:fontRef>
      </xdr:style>
    </xdr:cxnSp>
    <xdr:clientData/>
  </xdr:twoCellAnchor>
  <xdr:twoCellAnchor>
    <xdr:from>
      <xdr:col>3</xdr:col>
      <xdr:colOff>552450</xdr:colOff>
      <xdr:row>2</xdr:row>
      <xdr:rowOff>63500</xdr:rowOff>
    </xdr:from>
    <xdr:to>
      <xdr:col>3</xdr:col>
      <xdr:colOff>552450</xdr:colOff>
      <xdr:row>40</xdr:row>
      <xdr:rowOff>104775</xdr:rowOff>
    </xdr:to>
    <xdr:cxnSp macro="">
      <xdr:nvCxnSpPr>
        <xdr:cNvPr id="13" name="Y軸">
          <a:extLst>
            <a:ext uri="{FF2B5EF4-FFF2-40B4-BE49-F238E27FC236}">
              <a16:creationId xmlns:a16="http://schemas.microsoft.com/office/drawing/2014/main" id="{00000000-0008-0000-0700-00000D000000}"/>
            </a:ext>
          </a:extLst>
        </xdr:cNvPr>
        <xdr:cNvCxnSpPr/>
      </xdr:nvCxnSpPr>
      <xdr:spPr bwMode="auto">
        <a:xfrm>
          <a:off x="3912870" y="398780"/>
          <a:ext cx="0" cy="6899275"/>
        </a:xfrm>
        <a:prstGeom prst="straightConnector1">
          <a:avLst/>
        </a:prstGeom>
        <a:ln>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0</xdr:col>
      <xdr:colOff>381000</xdr:colOff>
      <xdr:row>21</xdr:row>
      <xdr:rowOff>139700</xdr:rowOff>
    </xdr:from>
    <xdr:to>
      <xdr:col>6</xdr:col>
      <xdr:colOff>723900</xdr:colOff>
      <xdr:row>21</xdr:row>
      <xdr:rowOff>139700</xdr:rowOff>
    </xdr:to>
    <xdr:cxnSp macro="">
      <xdr:nvCxnSpPr>
        <xdr:cNvPr id="14" name="直線矢印コネクタ 13">
          <a:extLst>
            <a:ext uri="{FF2B5EF4-FFF2-40B4-BE49-F238E27FC236}">
              <a16:creationId xmlns:a16="http://schemas.microsoft.com/office/drawing/2014/main" id="{00000000-0008-0000-0700-00000E000000}"/>
            </a:ext>
          </a:extLst>
        </xdr:cNvPr>
        <xdr:cNvCxnSpPr/>
      </xdr:nvCxnSpPr>
      <xdr:spPr bwMode="auto">
        <a:xfrm>
          <a:off x="381000" y="3858260"/>
          <a:ext cx="7063740" cy="0"/>
        </a:xfrm>
        <a:prstGeom prst="straightConnector1">
          <a:avLst/>
        </a:prstGeom>
        <a:ln w="28575">
          <a:headEnd type="none" w="med" len="med"/>
          <a:tailEnd type="none" w="med" len="med"/>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381000</xdr:colOff>
      <xdr:row>21</xdr:row>
      <xdr:rowOff>139700</xdr:rowOff>
    </xdr:from>
    <xdr:to>
      <xdr:col>6</xdr:col>
      <xdr:colOff>723900</xdr:colOff>
      <xdr:row>21</xdr:row>
      <xdr:rowOff>139700</xdr:rowOff>
    </xdr:to>
    <xdr:cxnSp macro="">
      <xdr:nvCxnSpPr>
        <xdr:cNvPr id="15" name="X軸">
          <a:extLst>
            <a:ext uri="{FF2B5EF4-FFF2-40B4-BE49-F238E27FC236}">
              <a16:creationId xmlns:a16="http://schemas.microsoft.com/office/drawing/2014/main" id="{00000000-0008-0000-0700-00000F000000}"/>
            </a:ext>
          </a:extLst>
        </xdr:cNvPr>
        <xdr:cNvCxnSpPr/>
      </xdr:nvCxnSpPr>
      <xdr:spPr bwMode="auto">
        <a:xfrm>
          <a:off x="381000" y="3858260"/>
          <a:ext cx="7063740" cy="0"/>
        </a:xfrm>
        <a:prstGeom prst="straightConnector1">
          <a:avLst/>
        </a:prstGeom>
        <a:solidFill>
          <a:srgbClr val="FFFFFF"/>
        </a:solidFill>
        <a:ln w="9525" cap="flat" cmpd="sng" algn="ctr">
          <a:solidFill>
            <a:srgbClr val="FF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editAs="oneCell">
        <xdr:from>
          <xdr:col>9</xdr:col>
          <xdr:colOff>133350</xdr:colOff>
          <xdr:row>2</xdr:row>
          <xdr:rowOff>95250</xdr:rowOff>
        </xdr:from>
        <xdr:to>
          <xdr:col>10</xdr:col>
          <xdr:colOff>400050</xdr:colOff>
          <xdr:row>4</xdr:row>
          <xdr:rowOff>114300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xdr:row>
          <xdr:rowOff>95250</xdr:rowOff>
        </xdr:from>
        <xdr:to>
          <xdr:col>12</xdr:col>
          <xdr:colOff>552450</xdr:colOff>
          <xdr:row>4</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700-000002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5</xdr:row>
          <xdr:rowOff>28575</xdr:rowOff>
        </xdr:from>
        <xdr:to>
          <xdr:col>12</xdr:col>
          <xdr:colOff>552450</xdr:colOff>
          <xdr:row>7</xdr:row>
          <xdr:rowOff>104775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700-000003E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t>
              </a:r>
            </a:p>
            <a:p>
              <a:pPr algn="ctr" rtl="0">
                <a:defRPr sz="1000"/>
              </a:pPr>
              <a:r>
                <a:rPr lang="ja-JP" altLang="en-US" sz="1100" b="1" i="0" u="none" strike="noStrike" baseline="0">
                  <a:solidFill>
                    <a:srgbClr val="000000"/>
                  </a:solidFill>
                  <a:latin typeface="ＭＳ Ｐゴシック"/>
                  <a:ea typeface="ＭＳ Ｐゴシック"/>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7</xdr:row>
          <xdr:rowOff>142875</xdr:rowOff>
        </xdr:from>
        <xdr:to>
          <xdr:col>12</xdr:col>
          <xdr:colOff>552450</xdr:colOff>
          <xdr:row>10</xdr:row>
          <xdr:rowOff>95250</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700-000004E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X</a:t>
              </a:r>
            </a:p>
            <a:p>
              <a:pPr algn="ctr" rtl="0">
                <a:defRPr sz="1000"/>
              </a:pPr>
              <a:r>
                <a:rPr lang="ja-JP" altLang="en-US" sz="1100" b="1"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14</xdr:row>
          <xdr:rowOff>19050</xdr:rowOff>
        </xdr:from>
        <xdr:to>
          <xdr:col>12</xdr:col>
          <xdr:colOff>590550</xdr:colOff>
          <xdr:row>16</xdr:row>
          <xdr:rowOff>152400</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700-000005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FF"/>
                  </a:solidFill>
                  <a:latin typeface="ＭＳ Ｐゴシック"/>
                  <a:ea typeface="ＭＳ Ｐゴシック"/>
                </a:rPr>
                <a:t>Roto回転後のグラフ更新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11</xdr:row>
          <xdr:rowOff>57150</xdr:rowOff>
        </xdr:from>
        <xdr:to>
          <xdr:col>12</xdr:col>
          <xdr:colOff>38100</xdr:colOff>
          <xdr:row>13</xdr:row>
          <xdr:rowOff>133350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700-000006E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FF"/>
                  </a:solidFill>
                  <a:latin typeface="ＭＳ Ｐゴシック"/>
                  <a:ea typeface="ＭＳ Ｐゴシック"/>
                </a:rPr>
                <a:t>XYを初期値に戻す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21</xdr:row>
          <xdr:rowOff>28575</xdr:rowOff>
        </xdr:from>
        <xdr:to>
          <xdr:col>12</xdr:col>
          <xdr:colOff>590550</xdr:colOff>
          <xdr:row>24</xdr:row>
          <xdr:rowOff>171450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700-000007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ＭＳ Ｐゴシック"/>
                  <a:ea typeface="ＭＳ Ｐゴシック"/>
                </a:rPr>
                <a:t>グラフを初期値に戻す</a:t>
              </a:r>
            </a:p>
            <a:p>
              <a:pPr algn="ctr" rtl="0">
                <a:defRPr sz="1000"/>
              </a:pPr>
              <a:r>
                <a:rPr lang="ja-JP" altLang="en-US" sz="1200" b="0" i="0" u="none" strike="noStrike" baseline="0">
                  <a:solidFill>
                    <a:srgbClr val="000000"/>
                  </a:solidFill>
                  <a:latin typeface="ＭＳ Ｐゴシック"/>
                  <a:ea typeface="ＭＳ Ｐゴシック"/>
                </a:rPr>
                <a:t>（ケース・グラフの値による）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31</xdr:row>
          <xdr:rowOff>19050</xdr:rowOff>
        </xdr:from>
        <xdr:to>
          <xdr:col>12</xdr:col>
          <xdr:colOff>533400</xdr:colOff>
          <xdr:row>33</xdr:row>
          <xdr:rowOff>76200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700-000008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17</xdr:row>
          <xdr:rowOff>28575</xdr:rowOff>
        </xdr:from>
        <xdr:to>
          <xdr:col>12</xdr:col>
          <xdr:colOff>57150</xdr:colOff>
          <xdr:row>20</xdr:row>
          <xdr:rowOff>142875</xdr:rowOff>
        </xdr:to>
        <xdr:sp macro="" textlink="">
          <xdr:nvSpPr>
            <xdr:cNvPr id="125962" name="Button 10" hidden="1">
              <a:extLst>
                <a:ext uri="{63B3BB69-23CF-44E3-9099-C40C66FF867C}">
                  <a14:compatExt spid="_x0000_s125962"/>
                </a:ext>
                <a:ext uri="{FF2B5EF4-FFF2-40B4-BE49-F238E27FC236}">
                  <a16:creationId xmlns:a16="http://schemas.microsoft.com/office/drawing/2014/main" id="{00000000-0008-0000-0700-00000AE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9900"/>
                  </a:solidFill>
                  <a:latin typeface="ＭＳ Ｐゴシック"/>
                  <a:ea typeface="ＭＳ Ｐゴシック"/>
                </a:rPr>
                <a:t>Rotoグラフ</a:t>
              </a:r>
            </a:p>
            <a:p>
              <a:pPr algn="ctr" rtl="0">
                <a:defRPr sz="1000"/>
              </a:pPr>
              <a:r>
                <a:rPr lang="ja-JP" altLang="en-US" sz="1200" b="1" i="0" u="none" strike="noStrike" baseline="0">
                  <a:solidFill>
                    <a:srgbClr val="FF9900"/>
                  </a:solidFill>
                  <a:latin typeface="ＭＳ Ｐゴシック"/>
                  <a:ea typeface="ＭＳ Ｐゴシック"/>
                </a:rPr>
                <a:t>回転後の再解釈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28</xdr:row>
          <xdr:rowOff>95250</xdr:rowOff>
        </xdr:from>
        <xdr:to>
          <xdr:col>12</xdr:col>
          <xdr:colOff>523875</xdr:colOff>
          <xdr:row>31</xdr:row>
          <xdr:rowOff>19050</xdr:rowOff>
        </xdr:to>
        <xdr:sp macro="" textlink="">
          <xdr:nvSpPr>
            <xdr:cNvPr id="125963" name="Button 11" hidden="1">
              <a:extLst>
                <a:ext uri="{63B3BB69-23CF-44E3-9099-C40C66FF867C}">
                  <a14:compatExt spid="_x0000_s125963"/>
                </a:ext>
                <a:ext uri="{FF2B5EF4-FFF2-40B4-BE49-F238E27FC236}">
                  <a16:creationId xmlns:a16="http://schemas.microsoft.com/office/drawing/2014/main" id="{00000000-0008-0000-0700-00000B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Rotoカテゴリ・グラフへ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25</xdr:row>
          <xdr:rowOff>180975</xdr:rowOff>
        </xdr:from>
        <xdr:to>
          <xdr:col>10</xdr:col>
          <xdr:colOff>95250</xdr:colOff>
          <xdr:row>28</xdr:row>
          <xdr:rowOff>76200</xdr:rowOff>
        </xdr:to>
        <xdr:sp macro="" textlink="">
          <xdr:nvSpPr>
            <xdr:cNvPr id="125965" name="Button 13" hidden="1">
              <a:extLst>
                <a:ext uri="{63B3BB69-23CF-44E3-9099-C40C66FF867C}">
                  <a14:compatExt spid="_x0000_s125965"/>
                </a:ext>
                <a:ext uri="{FF2B5EF4-FFF2-40B4-BE49-F238E27FC236}">
                  <a16:creationId xmlns:a16="http://schemas.microsoft.com/office/drawing/2014/main" id="{00000000-0008-0000-0700-00000D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X軸解釈へ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114300</xdr:colOff>
          <xdr:row>25</xdr:row>
          <xdr:rowOff>180975</xdr:rowOff>
        </xdr:from>
        <xdr:to>
          <xdr:col>12</xdr:col>
          <xdr:colOff>523875</xdr:colOff>
          <xdr:row>28</xdr:row>
          <xdr:rowOff>76200</xdr:rowOff>
        </xdr:to>
        <xdr:sp macro="" textlink="">
          <xdr:nvSpPr>
            <xdr:cNvPr id="125966" name="Button 14" hidden="1">
              <a:extLst>
                <a:ext uri="{63B3BB69-23CF-44E3-9099-C40C66FF867C}">
                  <a14:compatExt spid="_x0000_s125966"/>
                </a:ext>
                <a:ext uri="{FF2B5EF4-FFF2-40B4-BE49-F238E27FC236}">
                  <a16:creationId xmlns:a16="http://schemas.microsoft.com/office/drawing/2014/main" id="{00000000-0008-0000-0700-00000E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800000"/>
                  </a:solidFill>
                  <a:latin typeface="ＭＳ Ｐゴシック"/>
                  <a:ea typeface="ＭＳ Ｐゴシック"/>
                </a:rPr>
                <a:t>Ｙ軸解釈へ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33</xdr:row>
          <xdr:rowOff>133350</xdr:rowOff>
        </xdr:from>
        <xdr:to>
          <xdr:col>12</xdr:col>
          <xdr:colOff>533400</xdr:colOff>
          <xdr:row>35</xdr:row>
          <xdr:rowOff>152400</xdr:rowOff>
        </xdr:to>
        <xdr:sp macro="" textlink="">
          <xdr:nvSpPr>
            <xdr:cNvPr id="125967" name="Button 15" hidden="1">
              <a:extLst>
                <a:ext uri="{63B3BB69-23CF-44E3-9099-C40C66FF867C}">
                  <a14:compatExt spid="_x0000_s125967"/>
                </a:ext>
                <a:ext uri="{FF2B5EF4-FFF2-40B4-BE49-F238E27FC236}">
                  <a16:creationId xmlns:a16="http://schemas.microsoft.com/office/drawing/2014/main" id="{00000000-0008-0000-0700-00000FE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800000"/>
                  </a:solidFill>
                  <a:latin typeface="ＭＳ Ｐゴシック"/>
                  <a:ea typeface="ＭＳ Ｐゴシック"/>
                </a:rPr>
                <a:t>元データへ</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800100</xdr:colOff>
          <xdr:row>0</xdr:row>
          <xdr:rowOff>19050</xdr:rowOff>
        </xdr:from>
        <xdr:to>
          <xdr:col>9</xdr:col>
          <xdr:colOff>1466850</xdr:colOff>
          <xdr:row>0</xdr:row>
          <xdr:rowOff>342900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800-0000021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Y軸 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19050</xdr:rowOff>
        </xdr:from>
        <xdr:to>
          <xdr:col>10</xdr:col>
          <xdr:colOff>209550</xdr:colOff>
          <xdr:row>0</xdr:row>
          <xdr:rowOff>342900</xdr:rowOff>
        </xdr:to>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0800-0000081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638175</xdr:colOff>
          <xdr:row>0</xdr:row>
          <xdr:rowOff>19050</xdr:rowOff>
        </xdr:from>
        <xdr:to>
          <xdr:col>8</xdr:col>
          <xdr:colOff>1676400</xdr:colOff>
          <xdr:row>0</xdr:row>
          <xdr:rowOff>342900</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0800-0000091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Ｐゴシック"/>
                  <a:ea typeface="ＭＳ Ｐゴシック"/>
                </a:rPr>
                <a:t>Rotoグラフへ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0</xdr:row>
          <xdr:rowOff>19050</xdr:rowOff>
        </xdr:from>
        <xdr:to>
          <xdr:col>8</xdr:col>
          <xdr:colOff>628650</xdr:colOff>
          <xdr:row>0</xdr:row>
          <xdr:rowOff>342900</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0800-00000A1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9900"/>
                  </a:solidFill>
                  <a:latin typeface="ＭＳ Ｐゴシック"/>
                  <a:ea typeface="ＭＳ Ｐゴシック"/>
                </a:rPr>
                <a:t>Rotoグラフ回転後のX&amp;Y軸再解釈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1695450</xdr:colOff>
          <xdr:row>0</xdr:row>
          <xdr:rowOff>19050</xdr:rowOff>
        </xdr:from>
        <xdr:to>
          <xdr:col>9</xdr:col>
          <xdr:colOff>781050</xdr:colOff>
          <xdr:row>0</xdr:row>
          <xdr:rowOff>342900</xdr:rowOff>
        </xdr:to>
        <xdr:sp macro="" textlink="">
          <xdr:nvSpPr>
            <xdr:cNvPr id="71691" name="Button 11" hidden="1">
              <a:extLst>
                <a:ext uri="{63B3BB69-23CF-44E3-9099-C40C66FF867C}">
                  <a14:compatExt spid="_x0000_s71691"/>
                </a:ext>
                <a:ext uri="{FF2B5EF4-FFF2-40B4-BE49-F238E27FC236}">
                  <a16:creationId xmlns:a16="http://schemas.microsoft.com/office/drawing/2014/main" id="{00000000-0008-0000-0800-00000B1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Ｐゴシック"/>
                  <a:ea typeface="ＭＳ Ｐゴシック"/>
                </a:rPr>
                <a:t>Roto_Cグラフへ</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819150</xdr:colOff>
          <xdr:row>0</xdr:row>
          <xdr:rowOff>19050</xdr:rowOff>
        </xdr:from>
        <xdr:to>
          <xdr:col>9</xdr:col>
          <xdr:colOff>1485900</xdr:colOff>
          <xdr:row>0</xdr:row>
          <xdr:rowOff>342900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0900-0000021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X軸 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1504950</xdr:colOff>
          <xdr:row>0</xdr:row>
          <xdr:rowOff>19050</xdr:rowOff>
        </xdr:from>
        <xdr:to>
          <xdr:col>10</xdr:col>
          <xdr:colOff>209550</xdr:colOff>
          <xdr:row>0</xdr:row>
          <xdr:rowOff>342900</xdr:rowOff>
        </xdr:to>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900-00000B1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609600</xdr:colOff>
          <xdr:row>0</xdr:row>
          <xdr:rowOff>19050</xdr:rowOff>
        </xdr:from>
        <xdr:to>
          <xdr:col>8</xdr:col>
          <xdr:colOff>1657350</xdr:colOff>
          <xdr:row>0</xdr:row>
          <xdr:rowOff>342900</xdr:rowOff>
        </xdr:to>
        <xdr:sp macro="" textlink="">
          <xdr:nvSpPr>
            <xdr:cNvPr id="72717" name="Button 13" hidden="1">
              <a:extLst>
                <a:ext uri="{63B3BB69-23CF-44E3-9099-C40C66FF867C}">
                  <a14:compatExt spid="_x0000_s72717"/>
                </a:ext>
                <a:ext uri="{FF2B5EF4-FFF2-40B4-BE49-F238E27FC236}">
                  <a16:creationId xmlns:a16="http://schemas.microsoft.com/office/drawing/2014/main" id="{00000000-0008-0000-0900-00000D1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Ｐゴシック"/>
                  <a:ea typeface="ＭＳ Ｐゴシック"/>
                </a:rPr>
                <a:t>Rotoグラフへ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2009775</xdr:colOff>
          <xdr:row>0</xdr:row>
          <xdr:rowOff>19050</xdr:rowOff>
        </xdr:from>
        <xdr:to>
          <xdr:col>8</xdr:col>
          <xdr:colOff>600075</xdr:colOff>
          <xdr:row>0</xdr:row>
          <xdr:rowOff>342900</xdr:rowOff>
        </xdr:to>
        <xdr:sp macro="" textlink="">
          <xdr:nvSpPr>
            <xdr:cNvPr id="72718" name="Button 14" hidden="1">
              <a:extLst>
                <a:ext uri="{63B3BB69-23CF-44E3-9099-C40C66FF867C}">
                  <a14:compatExt spid="_x0000_s72718"/>
                </a:ext>
                <a:ext uri="{FF2B5EF4-FFF2-40B4-BE49-F238E27FC236}">
                  <a16:creationId xmlns:a16="http://schemas.microsoft.com/office/drawing/2014/main" id="{00000000-0008-0000-0900-00000E1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9900"/>
                  </a:solidFill>
                  <a:latin typeface="ＭＳ Ｐゴシック"/>
                  <a:ea typeface="ＭＳ Ｐゴシック"/>
                </a:rPr>
                <a:t>Rotoグラフ回転後のX&amp;Y軸再解釈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1666875</xdr:colOff>
          <xdr:row>0</xdr:row>
          <xdr:rowOff>19050</xdr:rowOff>
        </xdr:from>
        <xdr:to>
          <xdr:col>9</xdr:col>
          <xdr:colOff>800100</xdr:colOff>
          <xdr:row>0</xdr:row>
          <xdr:rowOff>342900</xdr:rowOff>
        </xdr:to>
        <xdr:sp macro="" textlink="">
          <xdr:nvSpPr>
            <xdr:cNvPr id="72719" name="Button 15" hidden="1">
              <a:extLst>
                <a:ext uri="{63B3BB69-23CF-44E3-9099-C40C66FF867C}">
                  <a14:compatExt spid="_x0000_s72719"/>
                </a:ext>
                <a:ext uri="{FF2B5EF4-FFF2-40B4-BE49-F238E27FC236}">
                  <a16:creationId xmlns:a16="http://schemas.microsoft.com/office/drawing/2014/main" id="{00000000-0008-0000-0900-00000F1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Ｐゴシック"/>
                  <a:ea typeface="ＭＳ Ｐゴシック"/>
                </a:rPr>
                <a:t>Roto_Cグラフへ</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19050</xdr:rowOff>
        </xdr:from>
        <xdr:to>
          <xdr:col>4</xdr:col>
          <xdr:colOff>666750</xdr:colOff>
          <xdr:row>1</xdr:row>
          <xdr:rowOff>133350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A00-000001A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19050</xdr:rowOff>
        </xdr:from>
        <xdr:to>
          <xdr:col>4</xdr:col>
          <xdr:colOff>704850</xdr:colOff>
          <xdr:row>1</xdr:row>
          <xdr:rowOff>133350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B00-000001B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00"/>
                  </a:solidFill>
                  <a:latin typeface="ＭＳ Ｐゴシック"/>
                  <a:ea typeface="ＭＳ Ｐゴシック"/>
                </a:rPr>
                <a:t>手順書へ</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乳白ガラス">
      <a:fillStyleLst>
        <a:solidFill>
          <a:schemeClr val="phClr"/>
        </a:solidFill>
        <a:gradFill rotWithShape="1">
          <a:gsLst>
            <a:gs pos="0">
              <a:schemeClr val="phClr">
                <a:tint val="15000"/>
                <a:satMod val="250000"/>
              </a:schemeClr>
            </a:gs>
            <a:gs pos="49000">
              <a:schemeClr val="phClr">
                <a:tint val="50000"/>
                <a:satMod val="200000"/>
              </a:schemeClr>
            </a:gs>
            <a:gs pos="49100">
              <a:schemeClr val="phClr">
                <a:tint val="64000"/>
                <a:satMod val="160000"/>
              </a:schemeClr>
            </a:gs>
            <a:gs pos="92000">
              <a:schemeClr val="phClr">
                <a:tint val="50000"/>
                <a:satMod val="200000"/>
              </a:schemeClr>
            </a:gs>
            <a:gs pos="100000">
              <a:schemeClr val="phClr">
                <a:tint val="43000"/>
                <a:satMod val="190000"/>
              </a:schemeClr>
            </a:gs>
          </a:gsLst>
          <a:lin ang="5400000" scaled="1"/>
        </a:gradFill>
        <a:gradFill rotWithShape="1">
          <a:gsLst>
            <a:gs pos="0">
              <a:schemeClr val="phClr">
                <a:tint val="74000"/>
              </a:schemeClr>
            </a:gs>
            <a:gs pos="49000">
              <a:schemeClr val="phClr">
                <a:tint val="96000"/>
                <a:shade val="84000"/>
                <a:satMod val="110000"/>
              </a:schemeClr>
            </a:gs>
            <a:gs pos="49100">
              <a:schemeClr val="phClr">
                <a:shade val="55000"/>
                <a:satMod val="150000"/>
              </a:schemeClr>
            </a:gs>
            <a:gs pos="92000">
              <a:schemeClr val="phClr">
                <a:tint val="98000"/>
                <a:shade val="90000"/>
                <a:satMod val="128000"/>
              </a:schemeClr>
            </a:gs>
            <a:gs pos="100000">
              <a:schemeClr val="phClr">
                <a:tint val="90000"/>
                <a:shade val="97000"/>
                <a:satMod val="128000"/>
              </a:schemeClr>
            </a:gs>
          </a:gsLst>
          <a:lin ang="5400000" scaled="1"/>
        </a:gradFill>
      </a:fillStyleLst>
      <a:lnStyleLst>
        <a:ln w="11430" cap="flat" cmpd="sng" algn="ctr">
          <a:solidFill>
            <a:schemeClr val="phClr"/>
          </a:solidFill>
          <a:prstDash val="solid"/>
        </a:ln>
        <a:ln w="40000" cap="flat" cmpd="sng" algn="ctr">
          <a:solidFill>
            <a:schemeClr val="phClr"/>
          </a:solidFill>
          <a:prstDash val="solid"/>
        </a:ln>
        <a:ln w="31800" cap="flat" cmpd="sng" algn="ctr">
          <a:solidFill>
            <a:schemeClr val="phClr"/>
          </a:solidFill>
          <a:prstDash val="solid"/>
        </a:ln>
      </a:lnStyleLst>
      <a:effectStyleLst>
        <a:effectStyle>
          <a:effectLst>
            <a:outerShdw blurRad="50800" dist="25000" dir="5400000" rotWithShape="0">
              <a:schemeClr val="phClr">
                <a:shade val="30000"/>
                <a:satMod val="150000"/>
                <a:alpha val="38000"/>
              </a:schemeClr>
            </a:outerShdw>
          </a:effectLst>
        </a:effectStyle>
        <a:effectStyle>
          <a:effectLst>
            <a:outerShdw blurRad="39000" dist="25400" dir="5400000" rotWithShape="0">
              <a:schemeClr val="phClr">
                <a:shade val="33000"/>
                <a:alpha val="83000"/>
              </a:schemeClr>
            </a:outerShdw>
          </a:effectLst>
        </a:effectStyle>
        <a:effectStyle>
          <a:effectLst>
            <a:outerShdw blurRad="39000" dist="25400" dir="5400000" rotWithShape="0">
              <a:schemeClr val="phClr">
                <a:shade val="33000"/>
                <a:alpha val="83000"/>
              </a:schemeClr>
            </a:outerShdw>
          </a:effectLst>
          <a:scene3d>
            <a:camera prst="orthographicFront" fov="0">
              <a:rot lat="0" lon="0" rev="0"/>
            </a:camera>
            <a:lightRig rig="contrasting" dir="t">
              <a:rot lat="0" lon="0" rev="1500000"/>
            </a:lightRig>
          </a:scene3d>
          <a:sp3d extrusionH="127000" prstMaterial="powder">
            <a:bevelT w="50800" h="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ctrlProp" Target="../ctrlProps/ctrlProp9.x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6.vml"/><Relationship Id="rId7" Type="http://schemas.openxmlformats.org/officeDocument/2006/relationships/ctrlProp" Target="../ctrlProps/ctrlProp38.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0.xml"/><Relationship Id="rId7" Type="http://schemas.openxmlformats.org/officeDocument/2006/relationships/ctrlProp" Target="../ctrlProps/ctrlProp44.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249977111117893"/>
  </sheetPr>
  <dimension ref="B1:F13"/>
  <sheetViews>
    <sheetView zoomScale="130" zoomScaleNormal="130" workbookViewId="0"/>
  </sheetViews>
  <sheetFormatPr defaultColWidth="9.140625" defaultRowHeight="13.5"/>
  <cols>
    <col min="1" max="1" width="1.7109375" style="3" customWidth="1"/>
    <col min="2" max="2" width="26.85546875" style="3" customWidth="1"/>
    <col min="3" max="3" width="1.85546875" style="11" customWidth="1"/>
    <col min="4" max="4" width="6.5703125" style="7" customWidth="1"/>
    <col min="5" max="5" width="37.5703125" style="3" bestFit="1" customWidth="1"/>
    <col min="6" max="6" width="33.85546875" style="3" customWidth="1"/>
    <col min="7" max="7" width="2.85546875" style="3" customWidth="1"/>
    <col min="8" max="16384" width="9.140625" style="3"/>
  </cols>
  <sheetData>
    <row r="1" spans="2:6" ht="5.25" customHeight="1" thickBot="1"/>
    <row r="2" spans="2:6" ht="18" customHeight="1" thickBot="1">
      <c r="B2" s="139" t="s">
        <v>29</v>
      </c>
      <c r="C2" s="140"/>
      <c r="D2" s="140"/>
      <c r="E2" s="140"/>
      <c r="F2" s="141"/>
    </row>
    <row r="3" spans="2:6" ht="9.75" customHeight="1"/>
    <row r="4" spans="2:6" ht="15.75" customHeight="1">
      <c r="B4" s="17" t="s">
        <v>10</v>
      </c>
      <c r="D4" s="12" t="s">
        <v>8</v>
      </c>
      <c r="E4" s="17" t="s">
        <v>9</v>
      </c>
      <c r="F4" s="13" t="s">
        <v>11</v>
      </c>
    </row>
    <row r="5" spans="2:6" ht="24" customHeight="1">
      <c r="B5" s="47" t="s">
        <v>30</v>
      </c>
      <c r="C5" s="11">
        <v>1</v>
      </c>
      <c r="D5" s="27" t="s">
        <v>4</v>
      </c>
      <c r="E5" s="28" t="s">
        <v>40</v>
      </c>
      <c r="F5" s="14"/>
    </row>
    <row r="6" spans="2:6" ht="24" customHeight="1">
      <c r="B6" s="47" t="s">
        <v>41</v>
      </c>
      <c r="C6" s="11">
        <v>2</v>
      </c>
      <c r="D6" s="15" t="s">
        <v>5</v>
      </c>
      <c r="E6" s="28" t="s">
        <v>50</v>
      </c>
      <c r="F6" s="14"/>
    </row>
    <row r="7" spans="2:6" ht="27" customHeight="1">
      <c r="B7" s="48" t="s">
        <v>12</v>
      </c>
      <c r="C7" s="11">
        <v>3</v>
      </c>
      <c r="D7" s="27" t="s">
        <v>6</v>
      </c>
      <c r="E7" s="18" t="s">
        <v>49</v>
      </c>
      <c r="F7" s="16"/>
    </row>
    <row r="8" spans="2:6" ht="32.65" customHeight="1">
      <c r="B8" s="48" t="s">
        <v>28</v>
      </c>
      <c r="C8" s="11">
        <v>4</v>
      </c>
      <c r="D8" s="15" t="s">
        <v>7</v>
      </c>
      <c r="E8" s="28" t="s">
        <v>48</v>
      </c>
      <c r="F8" s="14"/>
    </row>
    <row r="10" spans="2:6">
      <c r="B10" s="3" t="s">
        <v>54</v>
      </c>
    </row>
    <row r="11" spans="2:6">
      <c r="B11" s="3" t="s">
        <v>55</v>
      </c>
    </row>
    <row r="12" spans="2:6">
      <c r="B12" s="3" t="s">
        <v>56</v>
      </c>
    </row>
    <row r="13" spans="2:6">
      <c r="B13" s="3" t="s">
        <v>54</v>
      </c>
    </row>
  </sheetData>
  <mergeCells count="1">
    <mergeCell ref="B2:F2"/>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X軸へ">
                <anchor moveWithCells="1" sizeWithCells="1">
                  <from>
                    <xdr:col>5</xdr:col>
                    <xdr:colOff>38100</xdr:colOff>
                    <xdr:row>6</xdr:row>
                    <xdr:rowOff>19050</xdr:rowOff>
                  </from>
                  <to>
                    <xdr:col>5</xdr:col>
                    <xdr:colOff>1352550</xdr:colOff>
                    <xdr:row>6</xdr:row>
                    <xdr:rowOff>323850</xdr:rowOff>
                  </to>
                </anchor>
              </controlPr>
            </control>
          </mc:Choice>
        </mc:AlternateContent>
        <mc:AlternateContent xmlns:mc="http://schemas.openxmlformats.org/markup-compatibility/2006">
          <mc:Choice Requires="x14">
            <control shapeId="67590" r:id="rId5" name="Button 6">
              <controlPr defaultSize="0" print="0" autoFill="0" autoPict="0" macro="[0]!Y軸へ">
                <anchor moveWithCells="1" sizeWithCells="1">
                  <from>
                    <xdr:col>5</xdr:col>
                    <xdr:colOff>1371600</xdr:colOff>
                    <xdr:row>6</xdr:row>
                    <xdr:rowOff>19050</xdr:rowOff>
                  </from>
                  <to>
                    <xdr:col>5</xdr:col>
                    <xdr:colOff>2314575</xdr:colOff>
                    <xdr:row>6</xdr:row>
                    <xdr:rowOff>323850</xdr:rowOff>
                  </to>
                </anchor>
              </controlPr>
            </control>
          </mc:Choice>
        </mc:AlternateContent>
        <mc:AlternateContent xmlns:mc="http://schemas.openxmlformats.org/markup-compatibility/2006">
          <mc:Choice Requires="x14">
            <control shapeId="67596" r:id="rId6" name="Button 12">
              <controlPr defaultSize="0" print="0" autoFill="0" autoPict="0" macro="[0]!固有値へ">
                <anchor moveWithCells="1">
                  <from>
                    <xdr:col>5</xdr:col>
                    <xdr:colOff>38100</xdr:colOff>
                    <xdr:row>5</xdr:row>
                    <xdr:rowOff>19050</xdr:rowOff>
                  </from>
                  <to>
                    <xdr:col>6</xdr:col>
                    <xdr:colOff>0</xdr:colOff>
                    <xdr:row>6</xdr:row>
                    <xdr:rowOff>0</xdr:rowOff>
                  </to>
                </anchor>
              </controlPr>
            </control>
          </mc:Choice>
        </mc:AlternateContent>
        <mc:AlternateContent xmlns:mc="http://schemas.openxmlformats.org/markup-compatibility/2006">
          <mc:Choice Requires="x14">
            <control shapeId="67597" r:id="rId7" name="Button 13">
              <controlPr defaultSize="0" print="0" autoFill="0" autoPict="0" macro="[0]!元データへ">
                <anchor moveWithCells="1">
                  <from>
                    <xdr:col>5</xdr:col>
                    <xdr:colOff>38100</xdr:colOff>
                    <xdr:row>4</xdr:row>
                    <xdr:rowOff>19050</xdr:rowOff>
                  </from>
                  <to>
                    <xdr:col>6</xdr:col>
                    <xdr:colOff>0</xdr:colOff>
                    <xdr:row>4</xdr:row>
                    <xdr:rowOff>295275</xdr:rowOff>
                  </to>
                </anchor>
              </controlPr>
            </control>
          </mc:Choice>
        </mc:AlternateContent>
        <mc:AlternateContent xmlns:mc="http://schemas.openxmlformats.org/markup-compatibility/2006">
          <mc:Choice Requires="x14">
            <control shapeId="67625" r:id="rId8" name="Button 41">
              <controlPr defaultSize="0" print="0" autoFill="0" autoPict="0" macro="[0]!Rotoへ">
                <anchor moveWithCells="1">
                  <from>
                    <xdr:col>5</xdr:col>
                    <xdr:colOff>38100</xdr:colOff>
                    <xdr:row>7</xdr:row>
                    <xdr:rowOff>19050</xdr:rowOff>
                  </from>
                  <to>
                    <xdr:col>6</xdr:col>
                    <xdr:colOff>0</xdr:colOff>
                    <xdr:row>7</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641EC-6D98-4C50-ACE5-A1043B4A991C}">
  <dimension ref="A1:I9"/>
  <sheetViews>
    <sheetView topLeftCell="A2" zoomScale="112" workbookViewId="0">
      <selection activeCell="I17" sqref="I17"/>
    </sheetView>
  </sheetViews>
  <sheetFormatPr defaultRowHeight="12"/>
  <cols>
    <col min="1" max="1" width="24.42578125" customWidth="1"/>
    <col min="2" max="2" width="13.85546875" customWidth="1"/>
    <col min="3" max="3" width="12.140625" customWidth="1"/>
  </cols>
  <sheetData>
    <row r="1" spans="1:9">
      <c r="A1" s="159"/>
      <c r="B1" s="159" t="s">
        <v>84</v>
      </c>
      <c r="C1" s="159" t="s">
        <v>85</v>
      </c>
      <c r="D1" s="159" t="s">
        <v>86</v>
      </c>
      <c r="E1" s="159" t="s">
        <v>87</v>
      </c>
      <c r="F1" s="159" t="s">
        <v>191</v>
      </c>
      <c r="G1" s="159" t="s">
        <v>192</v>
      </c>
      <c r="H1" s="159" t="s">
        <v>88</v>
      </c>
      <c r="I1" s="159" t="s">
        <v>193</v>
      </c>
    </row>
    <row r="2" spans="1:9">
      <c r="A2" s="157" t="s">
        <v>84</v>
      </c>
      <c r="B2" s="157">
        <f>VARP(データ!$B$3:$AV$3)</f>
        <v>0.1332755092802175</v>
      </c>
      <c r="C2" s="157"/>
      <c r="D2" s="157"/>
      <c r="E2" s="157"/>
      <c r="F2" s="157"/>
      <c r="G2" s="157"/>
      <c r="H2" s="157"/>
      <c r="I2" s="157"/>
    </row>
    <row r="3" spans="1:9">
      <c r="A3" s="157" t="s">
        <v>85</v>
      </c>
      <c r="B3" s="157">
        <v>7.595518334087846E-2</v>
      </c>
      <c r="C3" s="157">
        <f>VARP(データ!$B$4:$AV$4)</f>
        <v>0.53823322770484383</v>
      </c>
      <c r="D3" s="157"/>
      <c r="E3" s="157"/>
      <c r="F3" s="157"/>
      <c r="G3" s="157"/>
      <c r="H3" s="157"/>
      <c r="I3" s="157"/>
    </row>
    <row r="4" spans="1:9">
      <c r="A4" s="157" t="s">
        <v>86</v>
      </c>
      <c r="B4" s="157">
        <v>0.17082593933906751</v>
      </c>
      <c r="C4" s="157">
        <v>0.36534712539610692</v>
      </c>
      <c r="D4" s="157">
        <f>VARP(データ!$B$5:$AV$5)</f>
        <v>0.82922245359891311</v>
      </c>
      <c r="E4" s="157"/>
      <c r="F4" s="157"/>
      <c r="G4" s="157"/>
      <c r="H4" s="157"/>
      <c r="I4" s="157"/>
    </row>
    <row r="5" spans="1:9">
      <c r="A5" s="157" t="s">
        <v>87</v>
      </c>
      <c r="B5" s="157">
        <v>0.20622073336351326</v>
      </c>
      <c r="C5" s="157">
        <v>0.7676967406066092</v>
      </c>
      <c r="D5" s="157">
        <v>0.50281828881846957</v>
      </c>
      <c r="E5" s="157">
        <f>VARP(データ!$B$6:$AV$6)</f>
        <v>2.0460805794477128</v>
      </c>
      <c r="F5" s="157"/>
      <c r="G5" s="157"/>
      <c r="H5" s="157"/>
      <c r="I5" s="157"/>
    </row>
    <row r="6" spans="1:9">
      <c r="A6" s="157" t="s">
        <v>191</v>
      </c>
      <c r="B6" s="157">
        <v>0.43741353553644258</v>
      </c>
      <c r="C6" s="157">
        <v>2.0640982344952472</v>
      </c>
      <c r="D6" s="157">
        <v>1.0966201901312809</v>
      </c>
      <c r="E6" s="157">
        <v>4.7135163422363062</v>
      </c>
      <c r="F6" s="157">
        <f>VARP(データ!$B$7:$AV$7)</f>
        <v>15.432420642824811</v>
      </c>
      <c r="G6" s="157"/>
      <c r="H6" s="157"/>
      <c r="I6" s="157"/>
    </row>
    <row r="7" spans="1:9">
      <c r="A7" s="157" t="s">
        <v>192</v>
      </c>
      <c r="B7" s="157">
        <v>-0.1118863739248529</v>
      </c>
      <c r="C7" s="157">
        <v>0.33134133091896872</v>
      </c>
      <c r="D7" s="157">
        <v>0.22174196468990656</v>
      </c>
      <c r="E7" s="157">
        <v>0.36393979176097913</v>
      </c>
      <c r="F7" s="157">
        <v>1.7638601177003208</v>
      </c>
      <c r="G7" s="157">
        <f>VARP(データ!$B$8:$AV$8)</f>
        <v>0.99129923042101109</v>
      </c>
      <c r="H7" s="157"/>
      <c r="I7" s="157"/>
    </row>
    <row r="8" spans="1:9">
      <c r="A8" s="157" t="s">
        <v>88</v>
      </c>
      <c r="B8" s="157">
        <v>0.25007650520597507</v>
      </c>
      <c r="C8" s="157">
        <v>1.0507249886826611</v>
      </c>
      <c r="D8" s="157">
        <v>0.89463992756903499</v>
      </c>
      <c r="E8" s="157">
        <v>2.3228999547306461</v>
      </c>
      <c r="F8" s="157">
        <v>6.8086392485287375</v>
      </c>
      <c r="G8" s="157">
        <v>1.0827949298325064</v>
      </c>
      <c r="H8" s="157">
        <f>VARP(データ!$B$9:$AV$9)</f>
        <v>5.1660379357175179</v>
      </c>
      <c r="I8" s="157"/>
    </row>
    <row r="9" spans="1:9" ht="12.75" thickBot="1">
      <c r="A9" s="158" t="s">
        <v>193</v>
      </c>
      <c r="B9" s="158">
        <v>9.5300543232232166E-2</v>
      </c>
      <c r="C9" s="158">
        <v>3.2996876414667468E-2</v>
      </c>
      <c r="D9" s="158">
        <v>0.11177745586238107</v>
      </c>
      <c r="E9" s="158">
        <v>0.2526577184246267</v>
      </c>
      <c r="F9" s="158">
        <v>1.0354921684019918</v>
      </c>
      <c r="G9" s="158">
        <v>-2.2386600271616087E-2</v>
      </c>
      <c r="H9" s="158">
        <v>0.44556600271616154</v>
      </c>
      <c r="I9" s="158">
        <v>0.44556600271616154</v>
      </c>
    </row>
  </sheetData>
  <phoneticPr fontId="1"/>
  <conditionalFormatting sqref="B2:I9">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41CA6-7AB2-4B30-A8F6-BA1E42729391}">
  <dimension ref="A1:AV10"/>
  <sheetViews>
    <sheetView zoomScale="85" zoomScaleNormal="100" workbookViewId="0">
      <pane xSplit="1" ySplit="2" topLeftCell="B3" activePane="bottomRight" state="frozen"/>
      <selection pane="topRight" activeCell="B1" sqref="B1"/>
      <selection pane="bottomLeft" activeCell="A2" sqref="A2"/>
      <selection pane="bottomRight" activeCell="A10" sqref="A3:A10"/>
    </sheetView>
  </sheetViews>
  <sheetFormatPr defaultRowHeight="12"/>
  <cols>
    <col min="1" max="1" width="25.5703125" customWidth="1"/>
    <col min="2" max="8" width="7.42578125" bestFit="1" customWidth="1"/>
    <col min="9" max="9" width="6.42578125" bestFit="1" customWidth="1"/>
    <col min="10" max="16" width="7.42578125" bestFit="1" customWidth="1"/>
    <col min="17" max="17" width="6.42578125" bestFit="1" customWidth="1"/>
    <col min="18" max="40" width="7.42578125" bestFit="1" customWidth="1"/>
    <col min="41" max="41" width="6.42578125" bestFit="1" customWidth="1"/>
    <col min="42" max="48" width="7.42578125" bestFit="1" customWidth="1"/>
  </cols>
  <sheetData>
    <row r="1" spans="1:48" ht="35.65" customHeight="1">
      <c r="A1" s="142" t="s">
        <v>146</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row>
    <row r="2" spans="1:48" ht="49.5">
      <c r="A2" s="125" t="s">
        <v>139</v>
      </c>
      <c r="B2" s="128" t="s">
        <v>135</v>
      </c>
      <c r="C2" s="128" t="s">
        <v>134</v>
      </c>
      <c r="D2" s="128" t="s">
        <v>133</v>
      </c>
      <c r="E2" s="128" t="s">
        <v>132</v>
      </c>
      <c r="F2" s="128" t="s">
        <v>131</v>
      </c>
      <c r="G2" s="128" t="s">
        <v>130</v>
      </c>
      <c r="H2" s="128" t="s">
        <v>129</v>
      </c>
      <c r="I2" s="128" t="s">
        <v>128</v>
      </c>
      <c r="J2" s="128" t="s">
        <v>127</v>
      </c>
      <c r="K2" s="128" t="s">
        <v>126</v>
      </c>
      <c r="L2" s="128" t="s">
        <v>125</v>
      </c>
      <c r="M2" s="129" t="s">
        <v>124</v>
      </c>
      <c r="N2" s="128" t="s">
        <v>123</v>
      </c>
      <c r="O2" s="128" t="s">
        <v>122</v>
      </c>
      <c r="P2" s="128" t="s">
        <v>121</v>
      </c>
      <c r="Q2" s="128" t="s">
        <v>120</v>
      </c>
      <c r="R2" s="130" t="s">
        <v>119</v>
      </c>
      <c r="S2" s="128" t="s">
        <v>118</v>
      </c>
      <c r="T2" s="128" t="s">
        <v>117</v>
      </c>
      <c r="U2" s="128" t="s">
        <v>116</v>
      </c>
      <c r="V2" s="130" t="s">
        <v>115</v>
      </c>
      <c r="W2" s="128" t="s">
        <v>114</v>
      </c>
      <c r="X2" s="128" t="s">
        <v>113</v>
      </c>
      <c r="Y2" s="128" t="s">
        <v>112</v>
      </c>
      <c r="Z2" s="128" t="s">
        <v>111</v>
      </c>
      <c r="AA2" s="128" t="s">
        <v>110</v>
      </c>
      <c r="AB2" s="129" t="s">
        <v>109</v>
      </c>
      <c r="AC2" s="128" t="s">
        <v>108</v>
      </c>
      <c r="AD2" s="128" t="s">
        <v>107</v>
      </c>
      <c r="AE2" s="128" t="s">
        <v>106</v>
      </c>
      <c r="AF2" s="128" t="s">
        <v>105</v>
      </c>
      <c r="AG2" s="128" t="s">
        <v>104</v>
      </c>
      <c r="AH2" s="128" t="s">
        <v>103</v>
      </c>
      <c r="AI2" s="128" t="s">
        <v>102</v>
      </c>
      <c r="AJ2" s="129" t="s">
        <v>101</v>
      </c>
      <c r="AK2" s="128" t="s">
        <v>100</v>
      </c>
      <c r="AL2" s="128" t="s">
        <v>99</v>
      </c>
      <c r="AM2" s="130" t="s">
        <v>98</v>
      </c>
      <c r="AN2" s="128" t="s">
        <v>97</v>
      </c>
      <c r="AO2" s="128" t="s">
        <v>96</v>
      </c>
      <c r="AP2" s="128" t="s">
        <v>95</v>
      </c>
      <c r="AQ2" s="128" t="s">
        <v>94</v>
      </c>
      <c r="AR2" s="128" t="s">
        <v>93</v>
      </c>
      <c r="AS2" s="128" t="s">
        <v>92</v>
      </c>
      <c r="AT2" s="128" t="s">
        <v>91</v>
      </c>
      <c r="AU2" s="128" t="s">
        <v>90</v>
      </c>
      <c r="AV2" s="128" t="s">
        <v>89</v>
      </c>
    </row>
    <row r="3" spans="1:48" ht="23.65" customHeight="1">
      <c r="A3" s="131" t="s">
        <v>84</v>
      </c>
      <c r="B3" s="126">
        <v>16.73</v>
      </c>
      <c r="C3" s="126">
        <v>17.32</v>
      </c>
      <c r="D3" s="126">
        <v>16.170000000000002</v>
      </c>
      <c r="E3" s="126">
        <v>16.86</v>
      </c>
      <c r="F3" s="126">
        <v>16.600000000000001</v>
      </c>
      <c r="G3" s="126">
        <v>17.260000000000002</v>
      </c>
      <c r="H3" s="126">
        <v>16.89</v>
      </c>
      <c r="I3" s="127">
        <v>16.649999999999999</v>
      </c>
      <c r="J3" s="127">
        <v>16.47</v>
      </c>
      <c r="K3" s="126">
        <v>16.38</v>
      </c>
      <c r="L3" s="126">
        <v>16.96</v>
      </c>
      <c r="M3" s="127">
        <v>16.399999999999999</v>
      </c>
      <c r="N3" s="126">
        <v>16.75</v>
      </c>
      <c r="O3" s="127">
        <v>17.350000000000001</v>
      </c>
      <c r="P3" s="126">
        <v>16.420000000000002</v>
      </c>
      <c r="Q3" s="126">
        <v>17.07</v>
      </c>
      <c r="R3" s="127">
        <v>16.38</v>
      </c>
      <c r="S3" s="126">
        <v>16.78</v>
      </c>
      <c r="T3" s="126">
        <v>17.23</v>
      </c>
      <c r="U3" s="126">
        <v>16.59</v>
      </c>
      <c r="V3" s="127">
        <v>17.03</v>
      </c>
      <c r="W3" s="126">
        <v>16.739999999999998</v>
      </c>
      <c r="X3" s="126">
        <v>17.440000000000001</v>
      </c>
      <c r="Y3" s="126">
        <v>17.239999999999998</v>
      </c>
      <c r="Z3" s="126">
        <v>16.55</v>
      </c>
      <c r="AA3" s="127">
        <v>16.61</v>
      </c>
      <c r="AB3" s="127">
        <v>16.68</v>
      </c>
      <c r="AC3" s="126">
        <v>16.149999999999999</v>
      </c>
      <c r="AD3" s="126">
        <v>16.8</v>
      </c>
      <c r="AE3" s="126">
        <v>16.489999999999998</v>
      </c>
      <c r="AF3" s="127">
        <v>16.61</v>
      </c>
      <c r="AG3" s="126">
        <v>16.79</v>
      </c>
      <c r="AH3" s="127">
        <v>16.61</v>
      </c>
      <c r="AI3" s="126">
        <v>16.11</v>
      </c>
      <c r="AJ3" s="127">
        <v>16.68</v>
      </c>
      <c r="AK3" s="126">
        <v>16.29</v>
      </c>
      <c r="AL3" s="126">
        <v>16.670000000000002</v>
      </c>
      <c r="AM3" s="127">
        <v>16.13</v>
      </c>
      <c r="AN3" s="126">
        <v>16.55</v>
      </c>
      <c r="AO3" s="127">
        <v>16.62</v>
      </c>
      <c r="AP3" s="126">
        <v>16.350000000000001</v>
      </c>
      <c r="AQ3" s="126">
        <v>17.170000000000002</v>
      </c>
      <c r="AR3" s="126">
        <v>16.78</v>
      </c>
      <c r="AS3" s="126">
        <v>16</v>
      </c>
      <c r="AT3" s="126">
        <v>17.03</v>
      </c>
      <c r="AU3" s="126">
        <v>16.39</v>
      </c>
      <c r="AV3" s="127">
        <v>15.92</v>
      </c>
    </row>
    <row r="4" spans="1:48" ht="23.65" customHeight="1">
      <c r="A4" s="131" t="s">
        <v>85</v>
      </c>
      <c r="B4" s="126">
        <v>19.82</v>
      </c>
      <c r="C4" s="126">
        <v>18.690000000000001</v>
      </c>
      <c r="D4" s="126">
        <v>19.02</v>
      </c>
      <c r="E4" s="126">
        <v>18.489999999999998</v>
      </c>
      <c r="F4" s="126">
        <v>19.28</v>
      </c>
      <c r="G4" s="126">
        <v>21.16</v>
      </c>
      <c r="H4" s="126">
        <v>19.22</v>
      </c>
      <c r="I4" s="127">
        <v>19.34</v>
      </c>
      <c r="J4" s="127">
        <v>19.579999999999998</v>
      </c>
      <c r="K4" s="126">
        <v>18.72</v>
      </c>
      <c r="L4" s="126">
        <v>19.79</v>
      </c>
      <c r="M4" s="127">
        <v>19.32</v>
      </c>
      <c r="N4" s="126">
        <v>19.61</v>
      </c>
      <c r="O4" s="127">
        <v>19.05</v>
      </c>
      <c r="P4" s="126">
        <v>19.38</v>
      </c>
      <c r="Q4" s="126">
        <v>19.420000000000002</v>
      </c>
      <c r="R4" s="127">
        <v>19.170000000000002</v>
      </c>
      <c r="S4" s="126">
        <v>20.69</v>
      </c>
      <c r="T4" s="126">
        <v>20.16</v>
      </c>
      <c r="U4" s="126">
        <v>19.809999999999999</v>
      </c>
      <c r="V4" s="127">
        <v>19.66</v>
      </c>
      <c r="W4" s="126">
        <v>19.18</v>
      </c>
      <c r="X4" s="126">
        <v>20.62</v>
      </c>
      <c r="Y4" s="126">
        <v>20.67</v>
      </c>
      <c r="Z4" s="126">
        <v>19.03</v>
      </c>
      <c r="AA4" s="127">
        <v>19.48</v>
      </c>
      <c r="AB4" s="127">
        <v>19.440000000000001</v>
      </c>
      <c r="AC4" s="126">
        <v>19.21</v>
      </c>
      <c r="AD4" s="126">
        <v>19.579999999999998</v>
      </c>
      <c r="AE4" s="126">
        <v>18.350000000000001</v>
      </c>
      <c r="AF4" s="127">
        <v>21.06</v>
      </c>
      <c r="AG4" s="126">
        <v>18.23</v>
      </c>
      <c r="AH4" s="127">
        <v>18.75</v>
      </c>
      <c r="AI4" s="126">
        <v>19.86</v>
      </c>
      <c r="AJ4" s="127">
        <v>20.7</v>
      </c>
      <c r="AK4" s="126">
        <v>18.79</v>
      </c>
      <c r="AL4" s="126">
        <v>19.3</v>
      </c>
      <c r="AM4" s="127">
        <v>19.77</v>
      </c>
      <c r="AN4" s="126">
        <v>19.39</v>
      </c>
      <c r="AO4" s="127">
        <v>20.28</v>
      </c>
      <c r="AP4" s="126">
        <v>19.260000000000002</v>
      </c>
      <c r="AQ4" s="126">
        <v>19.5</v>
      </c>
      <c r="AR4" s="126">
        <v>18.579999999999998</v>
      </c>
      <c r="AS4" s="126">
        <v>20.43</v>
      </c>
      <c r="AT4" s="126">
        <v>21.14</v>
      </c>
      <c r="AU4" s="126">
        <v>19.25</v>
      </c>
      <c r="AV4" s="127">
        <v>18.47</v>
      </c>
    </row>
    <row r="5" spans="1:48" ht="23.65" customHeight="1">
      <c r="A5" s="131" t="s">
        <v>86</v>
      </c>
      <c r="B5" s="126">
        <v>32.729999999999997</v>
      </c>
      <c r="C5" s="126">
        <v>32.28</v>
      </c>
      <c r="D5" s="126">
        <v>32.03</v>
      </c>
      <c r="E5" s="126">
        <v>31.72</v>
      </c>
      <c r="F5" s="126">
        <v>32.47</v>
      </c>
      <c r="G5" s="126">
        <v>34.72</v>
      </c>
      <c r="H5" s="126">
        <v>32.549999999999997</v>
      </c>
      <c r="I5" s="127">
        <v>32.479999999999997</v>
      </c>
      <c r="J5" s="127">
        <v>31.52</v>
      </c>
      <c r="K5" s="126">
        <v>31.94</v>
      </c>
      <c r="L5" s="126">
        <v>33.659999999999997</v>
      </c>
      <c r="M5" s="127">
        <v>32.35</v>
      </c>
      <c r="N5" s="126">
        <v>31.42</v>
      </c>
      <c r="O5" s="127">
        <v>32.549999999999997</v>
      </c>
      <c r="P5" s="126">
        <v>30.75</v>
      </c>
      <c r="Q5" s="126">
        <v>33.4</v>
      </c>
      <c r="R5" s="127">
        <v>32.28</v>
      </c>
      <c r="S5" s="126">
        <v>33.75</v>
      </c>
      <c r="T5" s="126">
        <v>33.21</v>
      </c>
      <c r="U5" s="126">
        <v>31.83</v>
      </c>
      <c r="V5" s="127">
        <v>31.91</v>
      </c>
      <c r="W5" s="126">
        <v>33.4</v>
      </c>
      <c r="X5" s="126">
        <v>34.26</v>
      </c>
      <c r="Y5" s="126">
        <v>34.24</v>
      </c>
      <c r="Z5" s="126">
        <v>31.68</v>
      </c>
      <c r="AA5" s="127">
        <v>32</v>
      </c>
      <c r="AB5" s="127">
        <v>32.17</v>
      </c>
      <c r="AC5" s="126">
        <v>30.61</v>
      </c>
      <c r="AD5" s="126">
        <v>32.020000000000003</v>
      </c>
      <c r="AE5" s="126">
        <v>32.590000000000003</v>
      </c>
      <c r="AF5" s="127">
        <v>33.46</v>
      </c>
      <c r="AG5" s="126">
        <v>32.51</v>
      </c>
      <c r="AH5" s="127">
        <v>33.950000000000003</v>
      </c>
      <c r="AI5" s="126">
        <v>32.35</v>
      </c>
      <c r="AJ5" s="127">
        <v>33.18</v>
      </c>
      <c r="AK5" s="126">
        <v>31.92</v>
      </c>
      <c r="AL5" s="126">
        <v>32.15</v>
      </c>
      <c r="AM5" s="127">
        <v>32.729999999999997</v>
      </c>
      <c r="AN5" s="126">
        <v>32.83</v>
      </c>
      <c r="AO5" s="127">
        <v>32.51</v>
      </c>
      <c r="AP5" s="126">
        <v>32.479999999999997</v>
      </c>
      <c r="AQ5" s="126">
        <v>32.28</v>
      </c>
      <c r="AR5" s="126">
        <v>32.979999999999997</v>
      </c>
      <c r="AS5" s="126">
        <v>32.200000000000003</v>
      </c>
      <c r="AT5" s="126">
        <v>34.909999999999997</v>
      </c>
      <c r="AU5" s="126">
        <v>31.7</v>
      </c>
      <c r="AV5" s="127">
        <v>32.29</v>
      </c>
    </row>
    <row r="6" spans="1:48" ht="23.65" customHeight="1">
      <c r="A6" s="131" t="s">
        <v>87</v>
      </c>
      <c r="B6" s="126">
        <v>42.15</v>
      </c>
      <c r="C6" s="126">
        <v>39.56</v>
      </c>
      <c r="D6" s="126">
        <v>39.880000000000003</v>
      </c>
      <c r="E6" s="126">
        <v>41.25</v>
      </c>
      <c r="F6" s="126">
        <v>40.57</v>
      </c>
      <c r="G6" s="126">
        <v>44.87</v>
      </c>
      <c r="H6" s="126">
        <v>43.48</v>
      </c>
      <c r="I6" s="127">
        <v>41.2</v>
      </c>
      <c r="J6" s="127">
        <v>42.66</v>
      </c>
      <c r="K6" s="126">
        <v>41.19</v>
      </c>
      <c r="L6" s="126">
        <v>41.32</v>
      </c>
      <c r="M6" s="127">
        <v>42.92</v>
      </c>
      <c r="N6" s="126">
        <v>42.68</v>
      </c>
      <c r="O6" s="127">
        <v>41.84</v>
      </c>
      <c r="P6" s="126">
        <v>42.5</v>
      </c>
      <c r="Q6" s="126">
        <v>42.24</v>
      </c>
      <c r="R6" s="127">
        <v>38.6</v>
      </c>
      <c r="S6" s="126">
        <v>43.42</v>
      </c>
      <c r="T6" s="126">
        <v>43.86</v>
      </c>
      <c r="U6" s="126">
        <v>42.66</v>
      </c>
      <c r="V6" s="127">
        <v>42.19</v>
      </c>
      <c r="W6" s="126">
        <v>38.99</v>
      </c>
      <c r="X6" s="126">
        <v>44.54</v>
      </c>
      <c r="Y6" s="126">
        <v>43.96</v>
      </c>
      <c r="Z6" s="126">
        <v>40.04</v>
      </c>
      <c r="AA6" s="127">
        <v>41.25</v>
      </c>
      <c r="AB6" s="127">
        <v>40.79</v>
      </c>
      <c r="AC6" s="126">
        <v>41.84</v>
      </c>
      <c r="AD6" s="126">
        <v>42.46</v>
      </c>
      <c r="AE6" s="126">
        <v>41.28</v>
      </c>
      <c r="AF6" s="127">
        <v>43.81</v>
      </c>
      <c r="AG6" s="126">
        <v>41.45</v>
      </c>
      <c r="AH6" s="127">
        <v>41.32</v>
      </c>
      <c r="AI6" s="126">
        <v>41.57</v>
      </c>
      <c r="AJ6" s="127">
        <v>43.26</v>
      </c>
      <c r="AK6" s="126">
        <v>40.26</v>
      </c>
      <c r="AL6" s="126">
        <v>42.52</v>
      </c>
      <c r="AM6" s="127">
        <v>39.97</v>
      </c>
      <c r="AN6" s="126">
        <v>41.65</v>
      </c>
      <c r="AO6" s="127">
        <v>43.1</v>
      </c>
      <c r="AP6" s="126">
        <v>41.88</v>
      </c>
      <c r="AQ6" s="126">
        <v>42.31</v>
      </c>
      <c r="AR6" s="126">
        <v>40.54</v>
      </c>
      <c r="AS6" s="126">
        <v>43.38</v>
      </c>
      <c r="AT6" s="126">
        <v>44.08</v>
      </c>
      <c r="AU6" s="126">
        <v>41.75</v>
      </c>
      <c r="AV6" s="127">
        <v>40.36</v>
      </c>
    </row>
    <row r="7" spans="1:48" ht="23.65" customHeight="1">
      <c r="A7" s="131" t="s">
        <v>136</v>
      </c>
      <c r="B7" s="126">
        <v>51.13</v>
      </c>
      <c r="C7" s="126">
        <v>43.87</v>
      </c>
      <c r="D7" s="126">
        <v>51.13</v>
      </c>
      <c r="E7" s="126">
        <v>46.89</v>
      </c>
      <c r="F7" s="126">
        <v>51.03</v>
      </c>
      <c r="G7" s="126">
        <v>64.67</v>
      </c>
      <c r="H7" s="126">
        <v>55.33</v>
      </c>
      <c r="I7" s="127">
        <v>50.79</v>
      </c>
      <c r="J7" s="127">
        <v>52.61</v>
      </c>
      <c r="K7" s="126">
        <v>48</v>
      </c>
      <c r="L7" s="126">
        <v>50.83</v>
      </c>
      <c r="M7" s="127">
        <v>57.12</v>
      </c>
      <c r="N7" s="126">
        <v>59.69</v>
      </c>
      <c r="O7" s="127">
        <v>51.29</v>
      </c>
      <c r="P7" s="126">
        <v>55.39</v>
      </c>
      <c r="Q7" s="126">
        <v>53.49</v>
      </c>
      <c r="R7" s="127">
        <v>48.1</v>
      </c>
      <c r="S7" s="126">
        <v>54.76</v>
      </c>
      <c r="T7" s="126">
        <v>57.7</v>
      </c>
      <c r="U7" s="126">
        <v>54.51</v>
      </c>
      <c r="V7" s="127">
        <v>53.14</v>
      </c>
      <c r="W7" s="126">
        <v>47.92</v>
      </c>
      <c r="X7" s="126">
        <v>58.12</v>
      </c>
      <c r="Y7" s="126">
        <v>57.87</v>
      </c>
      <c r="Z7" s="126">
        <v>49.14</v>
      </c>
      <c r="AA7" s="127">
        <v>51.36</v>
      </c>
      <c r="AB7" s="127">
        <v>48.43</v>
      </c>
      <c r="AC7" s="126">
        <v>54.95</v>
      </c>
      <c r="AD7" s="126">
        <v>52.5</v>
      </c>
      <c r="AE7" s="126">
        <v>49.56</v>
      </c>
      <c r="AF7" s="127">
        <v>57.13</v>
      </c>
      <c r="AG7" s="126">
        <v>51.43</v>
      </c>
      <c r="AH7" s="127">
        <v>49.26</v>
      </c>
      <c r="AI7" s="126">
        <v>50.76</v>
      </c>
      <c r="AJ7" s="127">
        <v>54.43</v>
      </c>
      <c r="AK7" s="126">
        <v>46.96</v>
      </c>
      <c r="AL7" s="126">
        <v>55.9</v>
      </c>
      <c r="AM7" s="127">
        <v>51.95</v>
      </c>
      <c r="AN7" s="126">
        <v>48.84</v>
      </c>
      <c r="AO7" s="127">
        <v>54.31</v>
      </c>
      <c r="AP7" s="126">
        <v>50.37</v>
      </c>
      <c r="AQ7" s="126">
        <v>52.41</v>
      </c>
      <c r="AR7" s="126">
        <v>47.44</v>
      </c>
      <c r="AS7" s="126">
        <v>52.88</v>
      </c>
      <c r="AT7" s="126">
        <v>55.9</v>
      </c>
      <c r="AU7" s="126">
        <v>52.51</v>
      </c>
      <c r="AV7" s="127">
        <v>47.37</v>
      </c>
    </row>
    <row r="8" spans="1:48" ht="23.65" customHeight="1">
      <c r="A8" s="131" t="s">
        <v>137</v>
      </c>
      <c r="B8" s="126">
        <v>5.3999999999999915</v>
      </c>
      <c r="C8" s="126">
        <v>3.3000000000000007</v>
      </c>
      <c r="D8" s="126">
        <v>6.6999999999999993</v>
      </c>
      <c r="E8" s="126">
        <v>4.2999999999999972</v>
      </c>
      <c r="F8" s="126">
        <v>5.8999999999999986</v>
      </c>
      <c r="G8" s="126">
        <v>7.4000000000000021</v>
      </c>
      <c r="H8" s="126">
        <v>5.5000000000000071</v>
      </c>
      <c r="I8" s="127">
        <v>6.9999999999999929</v>
      </c>
      <c r="J8" s="127">
        <v>5.1999999999999957</v>
      </c>
      <c r="K8" s="126">
        <v>5.3999999999999915</v>
      </c>
      <c r="L8" s="126">
        <v>6.7999999999999972</v>
      </c>
      <c r="M8" s="127">
        <v>6.6999999999999993</v>
      </c>
      <c r="N8" s="126">
        <v>6.0999999999999943</v>
      </c>
      <c r="O8" s="127">
        <v>5.2999999999999936</v>
      </c>
      <c r="P8" s="126">
        <v>6.6000000000000014</v>
      </c>
      <c r="Q8" s="126">
        <v>6.3000000000000078</v>
      </c>
      <c r="R8" s="127">
        <v>6.1999999999999922</v>
      </c>
      <c r="S8" s="126">
        <v>7.2000000000000064</v>
      </c>
      <c r="T8" s="126">
        <v>6.7999999999999972</v>
      </c>
      <c r="U8" s="126">
        <v>6.5000000000000036</v>
      </c>
      <c r="V8" s="127">
        <v>4.4999999999999929</v>
      </c>
      <c r="W8" s="126">
        <v>6.3000000000000078</v>
      </c>
      <c r="X8" s="126">
        <v>6.1999999999999922</v>
      </c>
      <c r="Y8" s="126">
        <v>5.5000000000000071</v>
      </c>
      <c r="Z8" s="126">
        <v>6.0999999999999943</v>
      </c>
      <c r="AA8" s="127">
        <v>5.8000000000000007</v>
      </c>
      <c r="AB8" s="127">
        <v>5.9999999999999964</v>
      </c>
      <c r="AC8" s="126">
        <v>5.8999999999999986</v>
      </c>
      <c r="AD8" s="126">
        <v>3.6999999999999922</v>
      </c>
      <c r="AE8" s="126">
        <v>5.600000000000005</v>
      </c>
      <c r="AF8" s="127">
        <v>7.3000000000000043</v>
      </c>
      <c r="AG8" s="126">
        <v>7.2000000000000064</v>
      </c>
      <c r="AH8" s="127">
        <v>4.9000000000000021</v>
      </c>
      <c r="AI8" s="126">
        <v>7.1000000000000085</v>
      </c>
      <c r="AJ8" s="127">
        <v>6.7999999999999972</v>
      </c>
      <c r="AK8" s="126">
        <v>5.9999999999999964</v>
      </c>
      <c r="AL8" s="126">
        <v>6.6999999999999993</v>
      </c>
      <c r="AM8" s="127">
        <v>7.4000000000000021</v>
      </c>
      <c r="AN8" s="126">
        <v>4.6000000000000085</v>
      </c>
      <c r="AO8" s="127">
        <v>6.5000000000000036</v>
      </c>
      <c r="AP8" s="126">
        <v>6.6000000000000014</v>
      </c>
      <c r="AQ8" s="126">
        <v>4.4999999999999929</v>
      </c>
      <c r="AR8" s="126">
        <v>4.9000000000000021</v>
      </c>
      <c r="AS8" s="126">
        <v>7.6999999999999957</v>
      </c>
      <c r="AT8" s="126">
        <v>7.1000000000000085</v>
      </c>
      <c r="AU8" s="126">
        <v>6.1999999999999922</v>
      </c>
      <c r="AV8" s="127">
        <v>6.0999999999999943</v>
      </c>
    </row>
    <row r="9" spans="1:48" ht="23.65" customHeight="1">
      <c r="A9" s="131" t="s">
        <v>88</v>
      </c>
      <c r="B9" s="126">
        <v>149.97999999999999</v>
      </c>
      <c r="C9" s="126">
        <v>150.66</v>
      </c>
      <c r="D9" s="126">
        <v>151.56</v>
      </c>
      <c r="E9" s="126">
        <v>149.97</v>
      </c>
      <c r="F9" s="126">
        <v>150.08000000000001</v>
      </c>
      <c r="G9" s="126">
        <v>158.76</v>
      </c>
      <c r="H9" s="126">
        <v>156.31</v>
      </c>
      <c r="I9" s="127">
        <v>152.30000000000001</v>
      </c>
      <c r="J9" s="127">
        <v>149.94999999999999</v>
      </c>
      <c r="K9" s="126">
        <v>151.06</v>
      </c>
      <c r="L9" s="126">
        <v>150.87</v>
      </c>
      <c r="M9" s="127">
        <v>155.62</v>
      </c>
      <c r="N9" s="126">
        <v>152.88999999999999</v>
      </c>
      <c r="O9" s="127">
        <v>153.15</v>
      </c>
      <c r="P9" s="126">
        <v>152.77000000000001</v>
      </c>
      <c r="Q9" s="126">
        <v>152.6</v>
      </c>
      <c r="R9" s="127">
        <v>150.69</v>
      </c>
      <c r="S9" s="126">
        <v>156.06</v>
      </c>
      <c r="T9" s="126">
        <v>154.63999999999999</v>
      </c>
      <c r="U9" s="126">
        <v>153.97</v>
      </c>
      <c r="V9" s="127">
        <v>150.25</v>
      </c>
      <c r="W9" s="126">
        <v>150.96</v>
      </c>
      <c r="X9" s="126">
        <v>155.69</v>
      </c>
      <c r="Y9" s="126">
        <v>155.07</v>
      </c>
      <c r="Z9" s="126">
        <v>151.57</v>
      </c>
      <c r="AA9" s="127">
        <v>152.51</v>
      </c>
      <c r="AB9" s="127">
        <v>148.66</v>
      </c>
      <c r="AC9" s="126">
        <v>151.46</v>
      </c>
      <c r="AD9" s="126">
        <v>151.88</v>
      </c>
      <c r="AE9" s="126">
        <v>150.44</v>
      </c>
      <c r="AF9" s="127">
        <v>155.97999999999999</v>
      </c>
      <c r="AG9" s="126">
        <v>152.26</v>
      </c>
      <c r="AH9" s="127">
        <v>150.09</v>
      </c>
      <c r="AI9" s="126">
        <v>150.77000000000001</v>
      </c>
      <c r="AJ9" s="127">
        <v>153.58000000000001</v>
      </c>
      <c r="AK9" s="126">
        <v>149.51</v>
      </c>
      <c r="AL9" s="126">
        <v>150.47999999999999</v>
      </c>
      <c r="AM9" s="127">
        <v>150.91999999999999</v>
      </c>
      <c r="AN9" s="126">
        <v>147.91</v>
      </c>
      <c r="AO9" s="127">
        <v>151.30000000000001</v>
      </c>
      <c r="AP9" s="126">
        <v>151.37</v>
      </c>
      <c r="AQ9" s="126">
        <v>151.22</v>
      </c>
      <c r="AR9" s="126">
        <v>150.09</v>
      </c>
      <c r="AS9" s="126">
        <v>155.43</v>
      </c>
      <c r="AT9" s="126">
        <v>154.38</v>
      </c>
      <c r="AU9" s="126">
        <v>151.97</v>
      </c>
      <c r="AV9" s="127">
        <v>151.74</v>
      </c>
    </row>
    <row r="10" spans="1:48" ht="23.65" customHeight="1">
      <c r="A10" s="131" t="s">
        <v>138</v>
      </c>
      <c r="B10" s="126">
        <v>23.64</v>
      </c>
      <c r="C10" s="126">
        <v>23.55</v>
      </c>
      <c r="D10" s="126">
        <v>23.9</v>
      </c>
      <c r="E10" s="126">
        <v>22.45</v>
      </c>
      <c r="F10" s="126">
        <v>24.33</v>
      </c>
      <c r="G10" s="126">
        <v>24.68</v>
      </c>
      <c r="H10" s="126">
        <v>23.99</v>
      </c>
      <c r="I10" s="127">
        <v>23.45</v>
      </c>
      <c r="J10" s="127">
        <v>22.04</v>
      </c>
      <c r="K10" s="126">
        <v>23.26</v>
      </c>
      <c r="L10" s="126">
        <v>22.62</v>
      </c>
      <c r="M10" s="127">
        <v>24.21</v>
      </c>
      <c r="N10" s="126">
        <v>23.91</v>
      </c>
      <c r="O10" s="127">
        <v>24.03</v>
      </c>
      <c r="P10" s="126">
        <v>24.34</v>
      </c>
      <c r="Q10" s="126">
        <v>24.53</v>
      </c>
      <c r="R10" s="127">
        <v>23.09</v>
      </c>
      <c r="S10" s="126">
        <v>22.53</v>
      </c>
      <c r="T10" s="126">
        <v>24.2</v>
      </c>
      <c r="U10" s="126">
        <v>22</v>
      </c>
      <c r="V10" s="127">
        <v>23.76</v>
      </c>
      <c r="W10" s="126">
        <v>22.54</v>
      </c>
      <c r="X10" s="126">
        <v>23.7</v>
      </c>
      <c r="Y10" s="126">
        <v>24.82</v>
      </c>
      <c r="Z10" s="126">
        <v>23.99</v>
      </c>
      <c r="AA10" s="127">
        <v>22.98</v>
      </c>
      <c r="AB10" s="127">
        <v>22.17</v>
      </c>
      <c r="AC10" s="126">
        <v>23.07</v>
      </c>
      <c r="AD10" s="126">
        <v>23.63</v>
      </c>
      <c r="AE10" s="126">
        <v>23.24</v>
      </c>
      <c r="AF10" s="127">
        <v>22.18</v>
      </c>
      <c r="AG10" s="126">
        <v>24.27</v>
      </c>
      <c r="AH10" s="127">
        <v>23.1</v>
      </c>
      <c r="AI10" s="126">
        <v>22.91</v>
      </c>
      <c r="AJ10" s="127">
        <v>24.68</v>
      </c>
      <c r="AK10" s="126">
        <v>21.72</v>
      </c>
      <c r="AL10" s="126">
        <v>23.61</v>
      </c>
      <c r="AM10" s="127">
        <v>23.66</v>
      </c>
      <c r="AN10" s="126">
        <v>23.56</v>
      </c>
      <c r="AO10" s="127">
        <v>24.28</v>
      </c>
      <c r="AP10" s="126">
        <v>23.49</v>
      </c>
      <c r="AQ10" s="126">
        <v>23.92</v>
      </c>
      <c r="AR10" s="126">
        <v>25.37</v>
      </c>
      <c r="AS10" s="126">
        <v>23.58</v>
      </c>
      <c r="AT10" s="126">
        <v>22.68</v>
      </c>
      <c r="AU10" s="126">
        <v>23.12</v>
      </c>
      <c r="AV10" s="127">
        <v>22.68</v>
      </c>
    </row>
  </sheetData>
  <mergeCells count="1">
    <mergeCell ref="A1:AV1"/>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B23FE-8A14-4D2C-AD0A-2558EF101A68}">
  <dimension ref="A1:J35"/>
  <sheetViews>
    <sheetView tabSelected="1" zoomScale="94" zoomScaleNormal="132" workbookViewId="0">
      <pane xSplit="1" ySplit="2" topLeftCell="C20" activePane="bottomRight" state="frozen"/>
      <selection pane="topRight" activeCell="B1" sqref="B1"/>
      <selection pane="bottomLeft" activeCell="A2" sqref="A2"/>
      <selection pane="bottomRight" activeCell="C15" sqref="C15"/>
    </sheetView>
  </sheetViews>
  <sheetFormatPr defaultRowHeight="12" outlineLevelRow="1"/>
  <cols>
    <col min="1" max="1" width="28.42578125" customWidth="1"/>
    <col min="2" max="8" width="19.140625" customWidth="1"/>
  </cols>
  <sheetData>
    <row r="1" spans="1:8" ht="35.65" customHeight="1">
      <c r="A1" s="143" t="s">
        <v>189</v>
      </c>
      <c r="B1" s="143"/>
      <c r="C1" s="143"/>
      <c r="D1" s="143"/>
      <c r="E1" s="143"/>
      <c r="F1" s="143"/>
      <c r="G1" s="143"/>
      <c r="H1" s="143"/>
    </row>
    <row r="2" spans="1:8" ht="24.4" customHeight="1">
      <c r="A2" s="125" t="s">
        <v>147</v>
      </c>
      <c r="B2" s="133" t="s">
        <v>148</v>
      </c>
      <c r="C2" s="133" t="s">
        <v>149</v>
      </c>
      <c r="D2" s="133" t="s">
        <v>150</v>
      </c>
      <c r="E2" s="133" t="s">
        <v>151</v>
      </c>
      <c r="F2" s="133" t="s">
        <v>152</v>
      </c>
      <c r="G2" s="133" t="s">
        <v>153</v>
      </c>
      <c r="H2" s="133" t="s">
        <v>154</v>
      </c>
    </row>
    <row r="3" spans="1:8" ht="23.25" customHeight="1">
      <c r="A3" s="134" t="s">
        <v>155</v>
      </c>
      <c r="B3" s="126">
        <v>-3.29</v>
      </c>
      <c r="C3" s="126">
        <v>0.58199999999999996</v>
      </c>
      <c r="D3" s="126">
        <v>-1261</v>
      </c>
      <c r="E3" s="126">
        <v>-85</v>
      </c>
      <c r="F3" s="126">
        <v>994</v>
      </c>
      <c r="G3" s="126">
        <v>-386</v>
      </c>
      <c r="H3" s="126">
        <v>-59</v>
      </c>
    </row>
    <row r="4" spans="1:8" ht="23.25" customHeight="1">
      <c r="A4" s="134" t="s">
        <v>156</v>
      </c>
      <c r="B4" s="126">
        <v>-3.37</v>
      </c>
      <c r="C4" s="126">
        <v>0.59599999999999997</v>
      </c>
      <c r="D4" s="126">
        <v>-1210</v>
      </c>
      <c r="E4" s="126">
        <v>-115</v>
      </c>
      <c r="F4" s="126">
        <v>1115</v>
      </c>
      <c r="G4" s="126">
        <v>-351</v>
      </c>
      <c r="H4" s="126">
        <v>-56</v>
      </c>
    </row>
    <row r="5" spans="1:8" ht="23.25" customHeight="1">
      <c r="A5" s="134" t="s">
        <v>157</v>
      </c>
      <c r="B5" s="126">
        <v>-3.53</v>
      </c>
      <c r="C5" s="126">
        <v>0.51100000000000001</v>
      </c>
      <c r="D5" s="126">
        <v>-1307</v>
      </c>
      <c r="E5" s="126">
        <v>-114</v>
      </c>
      <c r="F5" s="126">
        <v>989</v>
      </c>
      <c r="G5" s="126">
        <v>-336</v>
      </c>
      <c r="H5" s="126">
        <v>-57</v>
      </c>
    </row>
    <row r="6" spans="1:8" ht="23.25" customHeight="1">
      <c r="A6" s="134" t="s">
        <v>158</v>
      </c>
      <c r="B6" s="126">
        <v>-3.75</v>
      </c>
      <c r="C6" s="126">
        <v>0.47099999999999997</v>
      </c>
      <c r="D6" s="126">
        <v>-1260</v>
      </c>
      <c r="E6" s="126">
        <v>-140</v>
      </c>
      <c r="F6" s="126">
        <v>880</v>
      </c>
      <c r="G6" s="126">
        <v>-374</v>
      </c>
      <c r="H6" s="126">
        <v>-57</v>
      </c>
    </row>
    <row r="7" spans="1:8" ht="23.25" customHeight="1">
      <c r="A7" s="134" t="s">
        <v>159</v>
      </c>
      <c r="B7" s="126">
        <v>-3.78</v>
      </c>
      <c r="C7" s="126">
        <v>0.496</v>
      </c>
      <c r="D7" s="126">
        <v>-1286</v>
      </c>
      <c r="E7" s="126">
        <v>-121</v>
      </c>
      <c r="F7" s="126">
        <v>897</v>
      </c>
      <c r="G7" s="126">
        <v>-443</v>
      </c>
      <c r="H7" s="126">
        <v>-43</v>
      </c>
    </row>
    <row r="8" spans="1:8" ht="23.25" customHeight="1">
      <c r="A8" s="134" t="s">
        <v>160</v>
      </c>
      <c r="B8" s="126">
        <v>-4.74</v>
      </c>
      <c r="C8" s="126">
        <v>0.33800000000000002</v>
      </c>
      <c r="D8" s="126">
        <v>-1366</v>
      </c>
      <c r="E8" s="126">
        <v>-168</v>
      </c>
      <c r="F8" s="126">
        <v>858</v>
      </c>
      <c r="G8" s="126">
        <v>-412</v>
      </c>
      <c r="H8" s="126">
        <v>-80</v>
      </c>
    </row>
    <row r="9" spans="1:8" ht="23.25" customHeight="1">
      <c r="A9" s="134" t="s">
        <v>161</v>
      </c>
      <c r="B9" s="126">
        <v>-3.54</v>
      </c>
      <c r="C9" s="126">
        <v>0.51400000000000001</v>
      </c>
      <c r="D9" s="126">
        <v>-1196</v>
      </c>
      <c r="E9" s="126">
        <v>-147</v>
      </c>
      <c r="F9" s="126">
        <v>882</v>
      </c>
      <c r="G9" s="126">
        <v>-395</v>
      </c>
      <c r="H9" s="126">
        <v>-51</v>
      </c>
    </row>
    <row r="10" spans="1:8" ht="23.25" customHeight="1">
      <c r="A10" s="134" t="s">
        <v>162</v>
      </c>
      <c r="B10" s="126">
        <v>-3.86</v>
      </c>
      <c r="C10" s="126">
        <v>0.54300000000000004</v>
      </c>
      <c r="D10" s="126">
        <v>-1324</v>
      </c>
      <c r="E10" s="126">
        <v>-114</v>
      </c>
      <c r="F10" s="126">
        <v>944</v>
      </c>
      <c r="G10" s="126">
        <v>-449</v>
      </c>
      <c r="H10" s="126">
        <v>-68</v>
      </c>
    </row>
    <row r="11" spans="1:8" ht="23.25" customHeight="1">
      <c r="A11" s="135" t="s">
        <v>163</v>
      </c>
      <c r="B11" s="132">
        <v>-3.89</v>
      </c>
      <c r="C11" s="132">
        <v>0.54300000000000004</v>
      </c>
      <c r="D11" s="132">
        <v>-1283</v>
      </c>
      <c r="E11" s="132">
        <v>-104</v>
      </c>
      <c r="F11" s="132">
        <v>1064</v>
      </c>
      <c r="G11" s="132">
        <v>-456</v>
      </c>
      <c r="H11" s="132">
        <v>-64</v>
      </c>
    </row>
    <row r="12" spans="1:8" ht="23.25" customHeight="1">
      <c r="A12" s="135" t="s">
        <v>164</v>
      </c>
      <c r="B12" s="132">
        <v>-3.93</v>
      </c>
      <c r="C12" s="132">
        <v>0.52400000000000002</v>
      </c>
      <c r="D12" s="132">
        <v>-1320</v>
      </c>
      <c r="E12" s="132">
        <v>-130</v>
      </c>
      <c r="F12" s="132">
        <v>923</v>
      </c>
      <c r="G12" s="132">
        <v>-329</v>
      </c>
      <c r="H12" s="132">
        <v>-58</v>
      </c>
    </row>
    <row r="13" spans="1:8" ht="23.25" customHeight="1">
      <c r="A13" s="135" t="s">
        <v>165</v>
      </c>
      <c r="B13" s="132">
        <v>-4.05</v>
      </c>
      <c r="C13" s="132">
        <v>0.45400000000000001</v>
      </c>
      <c r="D13" s="132">
        <v>-1295</v>
      </c>
      <c r="E13" s="132">
        <v>-128</v>
      </c>
      <c r="F13" s="132">
        <v>1087</v>
      </c>
      <c r="G13" s="132">
        <v>-420</v>
      </c>
      <c r="H13" s="132">
        <v>-54</v>
      </c>
    </row>
    <row r="14" spans="1:8" ht="23.25" customHeight="1">
      <c r="A14" s="135" t="s">
        <v>166</v>
      </c>
      <c r="B14" s="132">
        <v>-4.1399999999999997</v>
      </c>
      <c r="C14" s="132">
        <v>0.51</v>
      </c>
      <c r="D14" s="132">
        <v>-1326</v>
      </c>
      <c r="E14" s="132">
        <v>-114</v>
      </c>
      <c r="F14" s="132">
        <v>915</v>
      </c>
      <c r="G14" s="132">
        <v>-363</v>
      </c>
      <c r="H14" s="132">
        <v>-47</v>
      </c>
    </row>
    <row r="16" spans="1:8" outlineLevel="1">
      <c r="A16" s="135" t="s">
        <v>186</v>
      </c>
      <c r="B16" s="132">
        <f>AVERAGE(B3:B14)</f>
        <v>-3.8224999999999998</v>
      </c>
      <c r="C16" s="132">
        <f t="shared" ref="C16:H16" si="0">AVERAGE(C3:C14)</f>
        <v>0.50683333333333336</v>
      </c>
      <c r="D16" s="132">
        <f t="shared" si="0"/>
        <v>-1286.1666666666667</v>
      </c>
      <c r="E16" s="132">
        <f t="shared" si="0"/>
        <v>-123.33333333333333</v>
      </c>
      <c r="F16" s="132">
        <f t="shared" si="0"/>
        <v>962.33333333333337</v>
      </c>
      <c r="G16" s="132">
        <f t="shared" si="0"/>
        <v>-392.83333333333331</v>
      </c>
      <c r="H16" s="132">
        <f t="shared" si="0"/>
        <v>-57.833333333333336</v>
      </c>
    </row>
    <row r="17" spans="1:10" outlineLevel="1">
      <c r="A17" s="135" t="s">
        <v>187</v>
      </c>
      <c r="B17" s="132">
        <f>_xlfn.STDEV.S(B3:B14)</f>
        <v>0.38994463476475505</v>
      </c>
      <c r="C17" s="132">
        <f t="shared" ref="C17:H17" si="1">_xlfn.STDEV.S(C3:C14)</f>
        <v>6.6938008408504557E-2</v>
      </c>
      <c r="D17" s="132">
        <f t="shared" si="1"/>
        <v>48.904049531772522</v>
      </c>
      <c r="E17" s="132">
        <f t="shared" si="1"/>
        <v>21.487134981122281</v>
      </c>
      <c r="F17" s="132">
        <f t="shared" si="1"/>
        <v>87.078160640921098</v>
      </c>
      <c r="G17" s="132">
        <f t="shared" si="1"/>
        <v>43.815384042455747</v>
      </c>
      <c r="H17" s="132">
        <f t="shared" si="1"/>
        <v>9.7125348562222982</v>
      </c>
    </row>
    <row r="19" spans="1:10">
      <c r="E19">
        <f>AVERAGE(B2:B14)</f>
        <v>-3.8224999999999998</v>
      </c>
    </row>
    <row r="20" spans="1:10" ht="18.75">
      <c r="A20" s="144" t="s">
        <v>190</v>
      </c>
      <c r="B20" s="144"/>
      <c r="C20" s="144"/>
      <c r="D20" s="144"/>
      <c r="E20" s="144"/>
      <c r="F20" s="144"/>
      <c r="G20" s="144"/>
      <c r="H20" s="144"/>
    </row>
    <row r="21" spans="1:10">
      <c r="A21" s="138"/>
      <c r="B21" s="138"/>
      <c r="C21" s="138"/>
      <c r="D21" s="138"/>
      <c r="E21" s="138"/>
      <c r="F21" s="138"/>
      <c r="G21" s="138"/>
      <c r="H21" s="138"/>
      <c r="J21" t="s">
        <v>195</v>
      </c>
    </row>
    <row r="22" spans="1:10" outlineLevel="1">
      <c r="A22" t="s">
        <v>188</v>
      </c>
    </row>
    <row r="23" spans="1:10" ht="19.899999999999999" customHeight="1" outlineLevel="1">
      <c r="A23" s="125" t="s">
        <v>147</v>
      </c>
      <c r="B23" s="133" t="s">
        <v>148</v>
      </c>
      <c r="C23" s="133" t="s">
        <v>149</v>
      </c>
      <c r="D23" s="133" t="s">
        <v>150</v>
      </c>
      <c r="E23" s="133" t="s">
        <v>151</v>
      </c>
      <c r="F23" s="133" t="s">
        <v>152</v>
      </c>
      <c r="G23" s="133" t="s">
        <v>153</v>
      </c>
      <c r="H23" s="133" t="s">
        <v>154</v>
      </c>
      <c r="J23" s="160" t="s">
        <v>194</v>
      </c>
    </row>
    <row r="24" spans="1:10" ht="18.600000000000001" customHeight="1" outlineLevel="1">
      <c r="A24" s="134" t="s">
        <v>155</v>
      </c>
      <c r="B24" s="137">
        <f>(B3-B$16)/B$17*10+50</f>
        <v>63.655784758296399</v>
      </c>
      <c r="C24" s="137">
        <f t="shared" ref="C24:H24" si="2">(C3-C$16)/C$17*10+50</f>
        <v>61.229295351595283</v>
      </c>
      <c r="D24" s="137">
        <f t="shared" si="2"/>
        <v>55.146131436480772</v>
      </c>
      <c r="E24" s="137">
        <f t="shared" si="2"/>
        <v>67.840132417379721</v>
      </c>
      <c r="F24" s="137">
        <f t="shared" si="2"/>
        <v>53.636579646789798</v>
      </c>
      <c r="G24" s="137">
        <f t="shared" si="2"/>
        <v>51.559573990430401</v>
      </c>
      <c r="H24" s="137">
        <f t="shared" si="2"/>
        <v>48.798803109654486</v>
      </c>
    </row>
    <row r="25" spans="1:10" ht="18.600000000000001" customHeight="1" outlineLevel="1">
      <c r="A25" s="134" t="s">
        <v>156</v>
      </c>
      <c r="B25" s="137">
        <f t="shared" ref="B25:H25" si="3">(B4-B$16)/B$17*10+50</f>
        <v>61.604211461275341</v>
      </c>
      <c r="C25" s="137">
        <f t="shared" si="3"/>
        <v>63.320782734154051</v>
      </c>
      <c r="D25" s="137">
        <f t="shared" si="3"/>
        <v>65.574715671998064</v>
      </c>
      <c r="E25" s="137">
        <f t="shared" si="3"/>
        <v>53.878289655952109</v>
      </c>
      <c r="F25" s="137">
        <f t="shared" si="3"/>
        <v>67.532141876102429</v>
      </c>
      <c r="G25" s="137">
        <f t="shared" si="3"/>
        <v>59.547635892634901</v>
      </c>
      <c r="H25" s="137">
        <f t="shared" si="3"/>
        <v>51.887595113400103</v>
      </c>
    </row>
    <row r="26" spans="1:10" ht="18.600000000000001" customHeight="1" outlineLevel="1">
      <c r="A26" s="134" t="s">
        <v>157</v>
      </c>
      <c r="B26" s="137">
        <f t="shared" ref="B26:H26" si="4">(B5-B$16)/B$17*10+50</f>
        <v>57.501064867233239</v>
      </c>
      <c r="C26" s="137">
        <f t="shared" si="4"/>
        <v>50.622466482904393</v>
      </c>
      <c r="D26" s="137">
        <f t="shared" si="4"/>
        <v>45.739957420131837</v>
      </c>
      <c r="E26" s="137">
        <f t="shared" si="4"/>
        <v>54.343684414666363</v>
      </c>
      <c r="F26" s="137">
        <f t="shared" si="4"/>
        <v>53.062382860454569</v>
      </c>
      <c r="G26" s="137">
        <f t="shared" si="4"/>
        <v>62.971090993579693</v>
      </c>
      <c r="H26" s="137">
        <f t="shared" si="4"/>
        <v>50.85799777881823</v>
      </c>
    </row>
    <row r="27" spans="1:10" ht="18.600000000000001" customHeight="1" outlineLevel="1">
      <c r="A27" s="134" t="s">
        <v>158</v>
      </c>
      <c r="B27" s="137">
        <f t="shared" ref="B27:H27" si="5">(B6-B$16)/B$17*10+50</f>
        <v>51.859238300425325</v>
      </c>
      <c r="C27" s="137">
        <f t="shared" si="5"/>
        <v>44.646788247022194</v>
      </c>
      <c r="D27" s="137">
        <f t="shared" si="5"/>
        <v>55.350613480314443</v>
      </c>
      <c r="E27" s="137">
        <f t="shared" si="5"/>
        <v>42.243420688095775</v>
      </c>
      <c r="F27" s="137">
        <f t="shared" si="5"/>
        <v>40.544892918346505</v>
      </c>
      <c r="G27" s="137">
        <f t="shared" si="5"/>
        <v>54.29833807118623</v>
      </c>
      <c r="H27" s="137">
        <f t="shared" si="5"/>
        <v>50.85799777881823</v>
      </c>
    </row>
    <row r="28" spans="1:10" ht="18.600000000000001" customHeight="1" outlineLevel="1">
      <c r="A28" s="134" t="s">
        <v>159</v>
      </c>
      <c r="B28" s="137">
        <f t="shared" ref="B28:H28" si="6">(B7-B$16)/B$17*10+50</f>
        <v>51.089898314042436</v>
      </c>
      <c r="C28" s="137">
        <f t="shared" si="6"/>
        <v>48.381587144448567</v>
      </c>
      <c r="D28" s="137">
        <f t="shared" si="6"/>
        <v>50.034080340638958</v>
      </c>
      <c r="E28" s="137">
        <f t="shared" si="6"/>
        <v>51.085921103666593</v>
      </c>
      <c r="F28" s="137">
        <f t="shared" si="6"/>
        <v>42.497161991886294</v>
      </c>
      <c r="G28" s="137">
        <f t="shared" si="6"/>
        <v>38.550444606840202</v>
      </c>
      <c r="H28" s="137">
        <f t="shared" si="6"/>
        <v>65.272360462964429</v>
      </c>
    </row>
    <row r="29" spans="1:10" ht="18.600000000000001" customHeight="1" outlineLevel="1">
      <c r="A29" s="134" t="s">
        <v>160</v>
      </c>
      <c r="B29" s="137">
        <f t="shared" ref="B29:H29" si="7">(B8-B$16)/B$17*10+50</f>
        <v>26.471018749789753</v>
      </c>
      <c r="C29" s="137">
        <f t="shared" si="7"/>
        <v>24.777658112713901</v>
      </c>
      <c r="D29" s="137">
        <f t="shared" si="7"/>
        <v>33.67551683394516</v>
      </c>
      <c r="E29" s="137">
        <f t="shared" si="7"/>
        <v>29.212367444096678</v>
      </c>
      <c r="F29" s="137">
        <f t="shared" si="7"/>
        <v>38.018427058471481</v>
      </c>
      <c r="G29" s="137">
        <f t="shared" si="7"/>
        <v>45.625585148792766</v>
      </c>
      <c r="H29" s="137">
        <f t="shared" si="7"/>
        <v>27.177259083435182</v>
      </c>
    </row>
    <row r="30" spans="1:10" ht="18.600000000000001" customHeight="1" outlineLevel="1">
      <c r="A30" s="134" t="s">
        <v>161</v>
      </c>
      <c r="B30" s="137">
        <f t="shared" ref="B30:H30" si="8">(B9-B$16)/B$17*10+50</f>
        <v>57.244618205105596</v>
      </c>
      <c r="C30" s="137">
        <f t="shared" si="8"/>
        <v>51.070642350595556</v>
      </c>
      <c r="D30" s="137">
        <f t="shared" si="8"/>
        <v>68.437464285669492</v>
      </c>
      <c r="E30" s="137">
        <f t="shared" si="8"/>
        <v>38.985657377095997</v>
      </c>
      <c r="F30" s="137">
        <f t="shared" si="8"/>
        <v>40.774571632880594</v>
      </c>
      <c r="G30" s="137">
        <f t="shared" si="8"/>
        <v>49.50550092986353</v>
      </c>
      <c r="H30" s="137">
        <f t="shared" si="8"/>
        <v>57.035581786309457</v>
      </c>
    </row>
    <row r="31" spans="1:10" ht="18.600000000000001" customHeight="1" outlineLevel="1">
      <c r="A31" s="134" t="s">
        <v>162</v>
      </c>
      <c r="B31" s="137">
        <f t="shared" ref="B31:H31" si="9">(B10-B$16)/B$17*10+50</f>
        <v>49.038325017021378</v>
      </c>
      <c r="C31" s="137">
        <f t="shared" si="9"/>
        <v>55.403009071610157</v>
      </c>
      <c r="D31" s="137">
        <f t="shared" si="9"/>
        <v>42.263762674959409</v>
      </c>
      <c r="E31" s="137">
        <f t="shared" si="9"/>
        <v>54.343684414666363</v>
      </c>
      <c r="F31" s="137">
        <f t="shared" si="9"/>
        <v>47.894611783437476</v>
      </c>
      <c r="G31" s="137">
        <f t="shared" si="9"/>
        <v>37.181062566462288</v>
      </c>
      <c r="H31" s="137">
        <f t="shared" si="9"/>
        <v>39.532427098417642</v>
      </c>
    </row>
    <row r="32" spans="1:10" ht="18.600000000000001" customHeight="1" outlineLevel="1">
      <c r="A32" s="135" t="s">
        <v>163</v>
      </c>
      <c r="B32" s="137">
        <f t="shared" ref="B32:H32" si="10">(B11-B$16)/B$17*10+50</f>
        <v>48.268985030638476</v>
      </c>
      <c r="C32" s="137">
        <f t="shared" si="10"/>
        <v>55.403009071610157</v>
      </c>
      <c r="D32" s="137">
        <f t="shared" si="10"/>
        <v>50.64752647213998</v>
      </c>
      <c r="E32" s="137">
        <f t="shared" si="10"/>
        <v>58.997632001808896</v>
      </c>
      <c r="F32" s="137">
        <f t="shared" si="10"/>
        <v>61.675334655483056</v>
      </c>
      <c r="G32" s="137">
        <f t="shared" si="10"/>
        <v>35.583450186021388</v>
      </c>
      <c r="H32" s="137">
        <f t="shared" si="10"/>
        <v>43.650816436745131</v>
      </c>
    </row>
    <row r="33" spans="1:8" ht="18.600000000000001" customHeight="1" outlineLevel="1">
      <c r="A33" s="135" t="s">
        <v>164</v>
      </c>
      <c r="B33" s="137">
        <f t="shared" ref="B33:H33" si="11">(B12-B$16)/B$17*10+50</f>
        <v>47.243198382127943</v>
      </c>
      <c r="C33" s="137">
        <f t="shared" si="11"/>
        <v>52.564561909566109</v>
      </c>
      <c r="D33" s="137">
        <f t="shared" si="11"/>
        <v>43.081690850294095</v>
      </c>
      <c r="E33" s="137">
        <f t="shared" si="11"/>
        <v>46.897368275238307</v>
      </c>
      <c r="F33" s="137">
        <f t="shared" si="11"/>
        <v>45.482985280829503</v>
      </c>
      <c r="G33" s="137">
        <f t="shared" si="11"/>
        <v>64.5687033740206</v>
      </c>
      <c r="H33" s="137">
        <f t="shared" si="11"/>
        <v>49.828400444236358</v>
      </c>
    </row>
    <row r="34" spans="1:8" ht="18.600000000000001" customHeight="1" outlineLevel="1">
      <c r="A34" s="135" t="s">
        <v>165</v>
      </c>
      <c r="B34" s="137">
        <f t="shared" ref="B34:H34" si="12">(B13-B$16)/B$17*10+50</f>
        <v>44.165838436596374</v>
      </c>
      <c r="C34" s="137">
        <f t="shared" si="12"/>
        <v>42.107124996772271</v>
      </c>
      <c r="D34" s="137">
        <f t="shared" si="12"/>
        <v>48.193741946135908</v>
      </c>
      <c r="E34" s="137">
        <f t="shared" si="12"/>
        <v>47.828157792666815</v>
      </c>
      <c r="F34" s="137">
        <f t="shared" si="12"/>
        <v>64.316639872625117</v>
      </c>
      <c r="G34" s="137">
        <f t="shared" si="12"/>
        <v>43.79974242828888</v>
      </c>
      <c r="H34" s="137">
        <f t="shared" si="12"/>
        <v>53.94678978256384</v>
      </c>
    </row>
    <row r="35" spans="1:8" ht="18.600000000000001" customHeight="1" outlineLevel="1">
      <c r="A35" s="135" t="s">
        <v>166</v>
      </c>
      <c r="B35" s="137">
        <f t="shared" ref="B35:H35" si="13">(B14-B$16)/B$17*10+50</f>
        <v>41.857818477447687</v>
      </c>
      <c r="C35" s="137">
        <f t="shared" si="13"/>
        <v>50.473074527007341</v>
      </c>
      <c r="D35" s="137">
        <f t="shared" si="13"/>
        <v>41.854798587292059</v>
      </c>
      <c r="E35" s="137">
        <f t="shared" si="13"/>
        <v>54.343684414666363</v>
      </c>
      <c r="F35" s="137">
        <f t="shared" si="13"/>
        <v>44.564270422693127</v>
      </c>
      <c r="G35" s="137">
        <f t="shared" si="13"/>
        <v>56.808871811879072</v>
      </c>
      <c r="H35" s="137">
        <f t="shared" si="13"/>
        <v>61.153971124636946</v>
      </c>
    </row>
  </sheetData>
  <mergeCells count="2">
    <mergeCell ref="A1:H1"/>
    <mergeCell ref="A20:H20"/>
  </mergeCells>
  <phoneticPr fontId="1"/>
  <conditionalFormatting sqref="B24:H35">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84BAB-BB50-40B1-B857-747FD3907029}">
  <dimension ref="A1:H36"/>
  <sheetViews>
    <sheetView zoomScaleNormal="100" workbookViewId="0">
      <pane xSplit="1" ySplit="2" topLeftCell="B7" activePane="bottomRight" state="frozen"/>
      <selection pane="topRight" activeCell="B1" sqref="B1"/>
      <selection pane="bottomLeft" activeCell="A2" sqref="A2"/>
      <selection pane="bottomRight" activeCell="B39" sqref="B39"/>
    </sheetView>
  </sheetViews>
  <sheetFormatPr defaultRowHeight="12" outlineLevelRow="1"/>
  <cols>
    <col min="1" max="1" width="28.42578125" customWidth="1"/>
    <col min="2" max="8" width="19.140625" customWidth="1"/>
  </cols>
  <sheetData>
    <row r="1" spans="1:8" ht="35.65" customHeight="1">
      <c r="A1" s="143" t="s">
        <v>189</v>
      </c>
      <c r="B1" s="143"/>
      <c r="C1" s="143"/>
      <c r="D1" s="143"/>
      <c r="E1" s="143"/>
      <c r="F1" s="143"/>
      <c r="G1" s="143"/>
      <c r="H1" s="143"/>
    </row>
    <row r="2" spans="1:8" ht="24.4" customHeight="1">
      <c r="A2" s="125" t="s">
        <v>147</v>
      </c>
      <c r="B2" s="133" t="s">
        <v>148</v>
      </c>
      <c r="C2" s="133" t="s">
        <v>149</v>
      </c>
      <c r="D2" s="133" t="s">
        <v>150</v>
      </c>
      <c r="E2" s="133" t="s">
        <v>151</v>
      </c>
      <c r="F2" s="133" t="s">
        <v>152</v>
      </c>
      <c r="G2" s="133" t="s">
        <v>153</v>
      </c>
      <c r="H2" s="133" t="s">
        <v>154</v>
      </c>
    </row>
    <row r="3" spans="1:8" ht="23.25" customHeight="1">
      <c r="A3" s="134" t="s">
        <v>155</v>
      </c>
      <c r="B3" s="126">
        <v>-3.29</v>
      </c>
      <c r="C3" s="126">
        <v>0.58199999999999996</v>
      </c>
      <c r="D3" s="126">
        <v>-1261</v>
      </c>
      <c r="E3" s="126">
        <v>-85</v>
      </c>
      <c r="F3" s="126">
        <v>994</v>
      </c>
      <c r="G3" s="126">
        <v>-386</v>
      </c>
      <c r="H3" s="126">
        <v>-59</v>
      </c>
    </row>
    <row r="4" spans="1:8" ht="23.25" customHeight="1">
      <c r="A4" s="134" t="s">
        <v>156</v>
      </c>
      <c r="B4" s="126">
        <v>-3.37</v>
      </c>
      <c r="C4" s="126">
        <v>0.59599999999999997</v>
      </c>
      <c r="D4" s="126">
        <v>-1210</v>
      </c>
      <c r="E4" s="126">
        <v>-115</v>
      </c>
      <c r="F4" s="126">
        <v>1115</v>
      </c>
      <c r="G4" s="126">
        <v>-351</v>
      </c>
      <c r="H4" s="126">
        <v>-56</v>
      </c>
    </row>
    <row r="5" spans="1:8" ht="23.25" customHeight="1">
      <c r="A5" s="134" t="s">
        <v>157</v>
      </c>
      <c r="B5" s="126">
        <v>-3.53</v>
      </c>
      <c r="C5" s="126">
        <v>0.51100000000000001</v>
      </c>
      <c r="D5" s="126">
        <v>-1307</v>
      </c>
      <c r="E5" s="126">
        <v>-114</v>
      </c>
      <c r="F5" s="126">
        <v>989</v>
      </c>
      <c r="G5" s="126">
        <v>-336</v>
      </c>
      <c r="H5" s="126">
        <v>-57</v>
      </c>
    </row>
    <row r="6" spans="1:8" ht="23.25" customHeight="1">
      <c r="A6" s="134" t="s">
        <v>158</v>
      </c>
      <c r="B6" s="126">
        <v>-3.75</v>
      </c>
      <c r="C6" s="126">
        <v>0.47099999999999997</v>
      </c>
      <c r="D6" s="126">
        <v>-1260</v>
      </c>
      <c r="E6" s="126">
        <v>-140</v>
      </c>
      <c r="F6" s="126">
        <v>880</v>
      </c>
      <c r="G6" s="126">
        <v>-374</v>
      </c>
      <c r="H6" s="126">
        <v>-57</v>
      </c>
    </row>
    <row r="7" spans="1:8" ht="23.25" customHeight="1">
      <c r="A7" s="134" t="s">
        <v>159</v>
      </c>
      <c r="B7" s="126">
        <v>-3.78</v>
      </c>
      <c r="C7" s="126">
        <v>0.496</v>
      </c>
      <c r="D7" s="126">
        <v>-1286</v>
      </c>
      <c r="E7" s="126">
        <v>-121</v>
      </c>
      <c r="F7" s="126">
        <v>897</v>
      </c>
      <c r="G7" s="126">
        <v>-443</v>
      </c>
      <c r="H7" s="126">
        <v>-43</v>
      </c>
    </row>
    <row r="8" spans="1:8" ht="23.25" customHeight="1">
      <c r="A8" s="134" t="s">
        <v>160</v>
      </c>
      <c r="B8" s="126">
        <v>-4.74</v>
      </c>
      <c r="C8" s="126">
        <v>0.33800000000000002</v>
      </c>
      <c r="D8" s="126">
        <v>-1366</v>
      </c>
      <c r="E8" s="126">
        <v>-168</v>
      </c>
      <c r="F8" s="126">
        <v>858</v>
      </c>
      <c r="G8" s="126">
        <v>-412</v>
      </c>
      <c r="H8" s="126">
        <v>-80</v>
      </c>
    </row>
    <row r="9" spans="1:8" ht="23.25" customHeight="1">
      <c r="A9" s="134" t="s">
        <v>161</v>
      </c>
      <c r="B9" s="126">
        <v>-3.54</v>
      </c>
      <c r="C9" s="126">
        <v>0.51400000000000001</v>
      </c>
      <c r="D9" s="126">
        <v>-1196</v>
      </c>
      <c r="E9" s="126">
        <v>-147</v>
      </c>
      <c r="F9" s="126">
        <v>882</v>
      </c>
      <c r="G9" s="126">
        <v>-395</v>
      </c>
      <c r="H9" s="126">
        <v>-51</v>
      </c>
    </row>
    <row r="10" spans="1:8" ht="23.25" customHeight="1">
      <c r="A10" s="134" t="s">
        <v>162</v>
      </c>
      <c r="B10" s="126">
        <v>-3.86</v>
      </c>
      <c r="C10" s="126">
        <v>0.54300000000000004</v>
      </c>
      <c r="D10" s="126">
        <v>-1324</v>
      </c>
      <c r="E10" s="126">
        <v>-114</v>
      </c>
      <c r="F10" s="126">
        <v>944</v>
      </c>
      <c r="G10" s="126">
        <v>-449</v>
      </c>
      <c r="H10" s="126">
        <v>-68</v>
      </c>
    </row>
    <row r="11" spans="1:8" ht="23.25" customHeight="1">
      <c r="A11" s="135" t="s">
        <v>163</v>
      </c>
      <c r="B11" s="132">
        <v>-3.89</v>
      </c>
      <c r="C11" s="132">
        <v>0.54300000000000004</v>
      </c>
      <c r="D11" s="132">
        <v>-1283</v>
      </c>
      <c r="E11" s="132">
        <v>-104</v>
      </c>
      <c r="F11" s="132">
        <v>1064</v>
      </c>
      <c r="G11" s="132">
        <v>-456</v>
      </c>
      <c r="H11" s="132">
        <v>-64</v>
      </c>
    </row>
    <row r="12" spans="1:8" ht="23.25" customHeight="1">
      <c r="A12" s="135" t="s">
        <v>164</v>
      </c>
      <c r="B12" s="132">
        <v>-3.93</v>
      </c>
      <c r="C12" s="132">
        <v>0.52400000000000002</v>
      </c>
      <c r="D12" s="132">
        <v>-1320</v>
      </c>
      <c r="E12" s="132">
        <v>-130</v>
      </c>
      <c r="F12" s="132">
        <v>923</v>
      </c>
      <c r="G12" s="132">
        <v>-329</v>
      </c>
      <c r="H12" s="132">
        <v>-58</v>
      </c>
    </row>
    <row r="13" spans="1:8" ht="23.25" customHeight="1">
      <c r="A13" s="135" t="s">
        <v>165</v>
      </c>
      <c r="B13" s="132">
        <v>-4.05</v>
      </c>
      <c r="C13" s="132">
        <v>0.45400000000000001</v>
      </c>
      <c r="D13" s="132">
        <v>-1295</v>
      </c>
      <c r="E13" s="132">
        <v>-128</v>
      </c>
      <c r="F13" s="132">
        <v>1087</v>
      </c>
      <c r="G13" s="132">
        <v>-420</v>
      </c>
      <c r="H13" s="132">
        <v>-54</v>
      </c>
    </row>
    <row r="14" spans="1:8" ht="23.25" customHeight="1">
      <c r="A14" s="135" t="s">
        <v>166</v>
      </c>
      <c r="B14" s="132">
        <v>-4.1399999999999997</v>
      </c>
      <c r="C14" s="132">
        <v>0.51</v>
      </c>
      <c r="D14" s="132">
        <v>-1326</v>
      </c>
      <c r="E14" s="132">
        <v>-114</v>
      </c>
      <c r="F14" s="132">
        <v>915</v>
      </c>
      <c r="G14" s="132">
        <v>-363</v>
      </c>
      <c r="H14" s="132">
        <v>-47</v>
      </c>
    </row>
    <row r="16" spans="1:8">
      <c r="A16" s="136" t="s">
        <v>186</v>
      </c>
      <c r="B16">
        <f>AVERAGE(B3:B14)</f>
        <v>-3.8224999999999998</v>
      </c>
      <c r="C16">
        <f t="shared" ref="C16:H16" si="0">AVERAGE(C3:C14)</f>
        <v>0.50683333333333336</v>
      </c>
      <c r="D16">
        <f t="shared" si="0"/>
        <v>-1286.1666666666667</v>
      </c>
      <c r="E16">
        <f t="shared" si="0"/>
        <v>-123.33333333333333</v>
      </c>
      <c r="F16">
        <f t="shared" si="0"/>
        <v>962.33333333333337</v>
      </c>
      <c r="G16">
        <f t="shared" si="0"/>
        <v>-392.83333333333331</v>
      </c>
      <c r="H16">
        <f t="shared" si="0"/>
        <v>-57.833333333333336</v>
      </c>
    </row>
    <row r="17" spans="1:8">
      <c r="A17" s="136" t="s">
        <v>187</v>
      </c>
      <c r="B17">
        <f>_xlfn.STDEV.S(B3:B14)</f>
        <v>0.38994463476475505</v>
      </c>
      <c r="C17">
        <f t="shared" ref="C17:H17" si="1">_xlfn.STDEV.S(C3:C14)</f>
        <v>6.6938008408504557E-2</v>
      </c>
      <c r="D17">
        <f t="shared" si="1"/>
        <v>48.904049531772522</v>
      </c>
      <c r="E17">
        <f t="shared" si="1"/>
        <v>21.487134981122281</v>
      </c>
      <c r="F17">
        <f t="shared" si="1"/>
        <v>87.078160640921098</v>
      </c>
      <c r="G17">
        <f t="shared" si="1"/>
        <v>43.815384042455747</v>
      </c>
      <c r="H17">
        <f t="shared" si="1"/>
        <v>9.7125348562222982</v>
      </c>
    </row>
    <row r="20" spans="1:8" ht="18.75">
      <c r="A20" s="144" t="s">
        <v>190</v>
      </c>
      <c r="B20" s="144"/>
      <c r="C20" s="144"/>
      <c r="D20" s="144"/>
      <c r="E20" s="144"/>
      <c r="F20" s="144"/>
      <c r="G20" s="144"/>
      <c r="H20" s="144"/>
    </row>
    <row r="21" spans="1:8">
      <c r="A21" s="138"/>
      <c r="B21" s="138"/>
      <c r="C21" s="138"/>
      <c r="D21" s="138"/>
      <c r="E21" s="138"/>
      <c r="F21" s="138"/>
      <c r="G21" s="138"/>
      <c r="H21" s="138"/>
    </row>
    <row r="22" spans="1:8" hidden="1" outlineLevel="1">
      <c r="A22" t="s">
        <v>188</v>
      </c>
    </row>
    <row r="23" spans="1:8" ht="19.899999999999999" hidden="1" customHeight="1" outlineLevel="1">
      <c r="A23" s="125" t="s">
        <v>147</v>
      </c>
      <c r="B23" s="133" t="s">
        <v>148</v>
      </c>
      <c r="C23" s="133" t="s">
        <v>149</v>
      </c>
      <c r="D23" s="133" t="s">
        <v>150</v>
      </c>
      <c r="E23" s="133" t="s">
        <v>151</v>
      </c>
      <c r="F23" s="133" t="s">
        <v>152</v>
      </c>
      <c r="G23" s="133" t="s">
        <v>153</v>
      </c>
      <c r="H23" s="133" t="s">
        <v>154</v>
      </c>
    </row>
    <row r="24" spans="1:8" ht="18.600000000000001" hidden="1" customHeight="1" outlineLevel="1">
      <c r="A24" s="134" t="s">
        <v>155</v>
      </c>
      <c r="B24" s="137">
        <f>(B3-B$16)/B$17*10+50</f>
        <v>63.655784758296399</v>
      </c>
      <c r="C24" s="137">
        <f t="shared" ref="C24:H24" si="2">(C3-C$16)/C$17*10+50</f>
        <v>61.229295351595283</v>
      </c>
      <c r="D24" s="137">
        <f t="shared" si="2"/>
        <v>55.146131436480772</v>
      </c>
      <c r="E24" s="137">
        <f t="shared" si="2"/>
        <v>67.840132417379721</v>
      </c>
      <c r="F24" s="137">
        <f t="shared" si="2"/>
        <v>53.636579646789798</v>
      </c>
      <c r="G24" s="137">
        <f t="shared" si="2"/>
        <v>51.559573990430401</v>
      </c>
      <c r="H24" s="137">
        <f t="shared" si="2"/>
        <v>48.798803109654486</v>
      </c>
    </row>
    <row r="25" spans="1:8" ht="18.600000000000001" hidden="1" customHeight="1" outlineLevel="1">
      <c r="A25" s="134" t="s">
        <v>156</v>
      </c>
      <c r="B25" s="137">
        <f t="shared" ref="B25:H35" si="3">(B4-B$16)/B$17*10+50</f>
        <v>61.604211461275341</v>
      </c>
      <c r="C25" s="137">
        <f t="shared" si="3"/>
        <v>63.320782734154051</v>
      </c>
      <c r="D25" s="137">
        <f t="shared" si="3"/>
        <v>65.574715671998064</v>
      </c>
      <c r="E25" s="137">
        <f t="shared" si="3"/>
        <v>53.878289655952109</v>
      </c>
      <c r="F25" s="137">
        <f t="shared" si="3"/>
        <v>67.532141876102429</v>
      </c>
      <c r="G25" s="137">
        <f t="shared" si="3"/>
        <v>59.547635892634901</v>
      </c>
      <c r="H25" s="137">
        <f t="shared" si="3"/>
        <v>51.887595113400103</v>
      </c>
    </row>
    <row r="26" spans="1:8" ht="18.600000000000001" hidden="1" customHeight="1" outlineLevel="1">
      <c r="A26" s="134" t="s">
        <v>157</v>
      </c>
      <c r="B26" s="137">
        <f t="shared" si="3"/>
        <v>57.501064867233239</v>
      </c>
      <c r="C26" s="137">
        <f t="shared" si="3"/>
        <v>50.622466482904393</v>
      </c>
      <c r="D26" s="137">
        <f t="shared" si="3"/>
        <v>45.739957420131837</v>
      </c>
      <c r="E26" s="137">
        <f t="shared" si="3"/>
        <v>54.343684414666363</v>
      </c>
      <c r="F26" s="137">
        <f t="shared" si="3"/>
        <v>53.062382860454569</v>
      </c>
      <c r="G26" s="137">
        <f t="shared" si="3"/>
        <v>62.971090993579693</v>
      </c>
      <c r="H26" s="137">
        <f t="shared" si="3"/>
        <v>50.85799777881823</v>
      </c>
    </row>
    <row r="27" spans="1:8" ht="18.600000000000001" hidden="1" customHeight="1" outlineLevel="1">
      <c r="A27" s="134" t="s">
        <v>158</v>
      </c>
      <c r="B27" s="137">
        <f t="shared" si="3"/>
        <v>51.859238300425325</v>
      </c>
      <c r="C27" s="137">
        <f t="shared" si="3"/>
        <v>44.646788247022194</v>
      </c>
      <c r="D27" s="137">
        <f t="shared" si="3"/>
        <v>55.350613480314443</v>
      </c>
      <c r="E27" s="137">
        <f t="shared" si="3"/>
        <v>42.243420688095775</v>
      </c>
      <c r="F27" s="137">
        <f t="shared" si="3"/>
        <v>40.544892918346505</v>
      </c>
      <c r="G27" s="137">
        <f t="shared" si="3"/>
        <v>54.29833807118623</v>
      </c>
      <c r="H27" s="137">
        <f t="shared" si="3"/>
        <v>50.85799777881823</v>
      </c>
    </row>
    <row r="28" spans="1:8" ht="18.600000000000001" hidden="1" customHeight="1" outlineLevel="1">
      <c r="A28" s="134" t="s">
        <v>159</v>
      </c>
      <c r="B28" s="137">
        <f t="shared" si="3"/>
        <v>51.089898314042436</v>
      </c>
      <c r="C28" s="137">
        <f t="shared" si="3"/>
        <v>48.381587144448567</v>
      </c>
      <c r="D28" s="137">
        <f t="shared" si="3"/>
        <v>50.034080340638958</v>
      </c>
      <c r="E28" s="137">
        <f t="shared" si="3"/>
        <v>51.085921103666593</v>
      </c>
      <c r="F28" s="137">
        <f t="shared" si="3"/>
        <v>42.497161991886294</v>
      </c>
      <c r="G28" s="137">
        <f t="shared" si="3"/>
        <v>38.550444606840202</v>
      </c>
      <c r="H28" s="137">
        <f t="shared" si="3"/>
        <v>65.272360462964429</v>
      </c>
    </row>
    <row r="29" spans="1:8" ht="18.600000000000001" hidden="1" customHeight="1" outlineLevel="1">
      <c r="A29" s="134" t="s">
        <v>160</v>
      </c>
      <c r="B29" s="137">
        <f t="shared" si="3"/>
        <v>26.471018749789753</v>
      </c>
      <c r="C29" s="137">
        <f t="shared" si="3"/>
        <v>24.777658112713901</v>
      </c>
      <c r="D29" s="137">
        <f t="shared" si="3"/>
        <v>33.67551683394516</v>
      </c>
      <c r="E29" s="137">
        <f t="shared" si="3"/>
        <v>29.212367444096678</v>
      </c>
      <c r="F29" s="137">
        <f t="shared" si="3"/>
        <v>38.018427058471481</v>
      </c>
      <c r="G29" s="137">
        <f t="shared" si="3"/>
        <v>45.625585148792766</v>
      </c>
      <c r="H29" s="137">
        <f t="shared" si="3"/>
        <v>27.177259083435182</v>
      </c>
    </row>
    <row r="30" spans="1:8" ht="18.600000000000001" hidden="1" customHeight="1" outlineLevel="1">
      <c r="A30" s="134" t="s">
        <v>161</v>
      </c>
      <c r="B30" s="137">
        <f t="shared" si="3"/>
        <v>57.244618205105596</v>
      </c>
      <c r="C30" s="137">
        <f t="shared" si="3"/>
        <v>51.070642350595556</v>
      </c>
      <c r="D30" s="137">
        <f t="shared" si="3"/>
        <v>68.437464285669492</v>
      </c>
      <c r="E30" s="137">
        <f t="shared" si="3"/>
        <v>38.985657377095997</v>
      </c>
      <c r="F30" s="137">
        <f t="shared" si="3"/>
        <v>40.774571632880594</v>
      </c>
      <c r="G30" s="137">
        <f t="shared" si="3"/>
        <v>49.50550092986353</v>
      </c>
      <c r="H30" s="137">
        <f t="shared" si="3"/>
        <v>57.035581786309457</v>
      </c>
    </row>
    <row r="31" spans="1:8" ht="18.600000000000001" hidden="1" customHeight="1" outlineLevel="1">
      <c r="A31" s="134" t="s">
        <v>162</v>
      </c>
      <c r="B31" s="137">
        <f t="shared" si="3"/>
        <v>49.038325017021378</v>
      </c>
      <c r="C31" s="137">
        <f t="shared" si="3"/>
        <v>55.403009071610157</v>
      </c>
      <c r="D31" s="137">
        <f t="shared" si="3"/>
        <v>42.263762674959409</v>
      </c>
      <c r="E31" s="137">
        <f t="shared" si="3"/>
        <v>54.343684414666363</v>
      </c>
      <c r="F31" s="137">
        <f t="shared" si="3"/>
        <v>47.894611783437476</v>
      </c>
      <c r="G31" s="137">
        <f t="shared" si="3"/>
        <v>37.181062566462288</v>
      </c>
      <c r="H31" s="137">
        <f t="shared" si="3"/>
        <v>39.532427098417642</v>
      </c>
    </row>
    <row r="32" spans="1:8" ht="18.600000000000001" hidden="1" customHeight="1" outlineLevel="1">
      <c r="A32" s="135" t="s">
        <v>163</v>
      </c>
      <c r="B32" s="137">
        <f t="shared" si="3"/>
        <v>48.268985030638476</v>
      </c>
      <c r="C32" s="137">
        <f t="shared" si="3"/>
        <v>55.403009071610157</v>
      </c>
      <c r="D32" s="137">
        <f t="shared" si="3"/>
        <v>50.64752647213998</v>
      </c>
      <c r="E32" s="137">
        <f t="shared" si="3"/>
        <v>58.997632001808896</v>
      </c>
      <c r="F32" s="137">
        <f t="shared" si="3"/>
        <v>61.675334655483056</v>
      </c>
      <c r="G32" s="137">
        <f t="shared" si="3"/>
        <v>35.583450186021388</v>
      </c>
      <c r="H32" s="137">
        <f t="shared" si="3"/>
        <v>43.650816436745131</v>
      </c>
    </row>
    <row r="33" spans="1:8" ht="18.600000000000001" hidden="1" customHeight="1" outlineLevel="1">
      <c r="A33" s="135" t="s">
        <v>164</v>
      </c>
      <c r="B33" s="137">
        <f t="shared" si="3"/>
        <v>47.243198382127943</v>
      </c>
      <c r="C33" s="137">
        <f t="shared" si="3"/>
        <v>52.564561909566109</v>
      </c>
      <c r="D33" s="137">
        <f t="shared" si="3"/>
        <v>43.081690850294095</v>
      </c>
      <c r="E33" s="137">
        <f t="shared" si="3"/>
        <v>46.897368275238307</v>
      </c>
      <c r="F33" s="137">
        <f t="shared" si="3"/>
        <v>45.482985280829503</v>
      </c>
      <c r="G33" s="137">
        <f t="shared" si="3"/>
        <v>64.5687033740206</v>
      </c>
      <c r="H33" s="137">
        <f t="shared" si="3"/>
        <v>49.828400444236358</v>
      </c>
    </row>
    <row r="34" spans="1:8" ht="18.600000000000001" hidden="1" customHeight="1" outlineLevel="1">
      <c r="A34" s="135" t="s">
        <v>165</v>
      </c>
      <c r="B34" s="137">
        <f t="shared" si="3"/>
        <v>44.165838436596374</v>
      </c>
      <c r="C34" s="137">
        <f t="shared" si="3"/>
        <v>42.107124996772271</v>
      </c>
      <c r="D34" s="137">
        <f t="shared" si="3"/>
        <v>48.193741946135908</v>
      </c>
      <c r="E34" s="137">
        <f t="shared" si="3"/>
        <v>47.828157792666815</v>
      </c>
      <c r="F34" s="137">
        <f t="shared" si="3"/>
        <v>64.316639872625117</v>
      </c>
      <c r="G34" s="137">
        <f t="shared" si="3"/>
        <v>43.79974242828888</v>
      </c>
      <c r="H34" s="137">
        <f t="shared" si="3"/>
        <v>53.94678978256384</v>
      </c>
    </row>
    <row r="35" spans="1:8" ht="18.600000000000001" hidden="1" customHeight="1" outlineLevel="1">
      <c r="A35" s="135" t="s">
        <v>166</v>
      </c>
      <c r="B35" s="137">
        <f t="shared" si="3"/>
        <v>41.857818477447687</v>
      </c>
      <c r="C35" s="137">
        <f t="shared" si="3"/>
        <v>50.473074527007341</v>
      </c>
      <c r="D35" s="137">
        <f t="shared" si="3"/>
        <v>41.854798587292059</v>
      </c>
      <c r="E35" s="137">
        <f t="shared" si="3"/>
        <v>54.343684414666363</v>
      </c>
      <c r="F35" s="137">
        <f t="shared" si="3"/>
        <v>44.564270422693127</v>
      </c>
      <c r="G35" s="137">
        <f t="shared" si="3"/>
        <v>56.808871811879072</v>
      </c>
      <c r="H35" s="137">
        <f t="shared" si="3"/>
        <v>61.153971124636946</v>
      </c>
    </row>
    <row r="36" spans="1:8" collapsed="1"/>
  </sheetData>
  <mergeCells count="2">
    <mergeCell ref="A1:H1"/>
    <mergeCell ref="A20:H20"/>
  </mergeCells>
  <phoneticPr fontId="1"/>
  <conditionalFormatting sqref="B24:H35">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theme="6" tint="0.39997558519241921"/>
  </sheetPr>
  <dimension ref="A1:P57"/>
  <sheetViews>
    <sheetView zoomScale="114" zoomScaleNormal="100" workbookViewId="0">
      <pane xSplit="8" ySplit="8" topLeftCell="I18" activePane="bottomRight" state="frozen"/>
      <selection pane="topRight" activeCell="J1" sqref="J1"/>
      <selection pane="bottomLeft" activeCell="A10" sqref="A10"/>
      <selection pane="bottomRight" activeCell="K8" sqref="K8"/>
    </sheetView>
  </sheetViews>
  <sheetFormatPr defaultColWidth="9.140625" defaultRowHeight="12"/>
  <cols>
    <col min="1" max="3" width="4" style="3" customWidth="1"/>
    <col min="4" max="5" width="3.28515625" style="3" customWidth="1"/>
    <col min="6" max="6" width="0.7109375" style="30" customWidth="1"/>
    <col min="7" max="7" width="4" style="3" customWidth="1"/>
    <col min="8" max="8" width="27.85546875" style="9" customWidth="1"/>
    <col min="9" max="16" width="7.42578125" style="3" customWidth="1"/>
    <col min="17" max="16384" width="9.140625" style="3"/>
  </cols>
  <sheetData>
    <row r="1" spans="1:16">
      <c r="A1" s="146" t="s">
        <v>1</v>
      </c>
      <c r="B1" s="146"/>
      <c r="C1" s="146"/>
      <c r="D1" s="146"/>
      <c r="E1" s="146"/>
      <c r="F1" s="146"/>
      <c r="G1" s="146"/>
      <c r="H1" s="146"/>
    </row>
    <row r="2" spans="1:16">
      <c r="A2" s="146"/>
      <c r="B2" s="146"/>
      <c r="C2" s="146"/>
      <c r="D2" s="146"/>
      <c r="E2" s="146"/>
      <c r="F2" s="146"/>
      <c r="G2" s="146"/>
      <c r="H2" s="146"/>
    </row>
    <row r="3" spans="1:16" ht="4.5" customHeight="1">
      <c r="A3" s="10"/>
      <c r="B3" s="10"/>
      <c r="C3" s="10"/>
      <c r="D3" s="10"/>
      <c r="E3" s="10"/>
      <c r="F3" s="29"/>
      <c r="G3" s="10"/>
      <c r="H3" s="10"/>
    </row>
    <row r="4" spans="1:16" ht="17.25">
      <c r="A4" s="148" t="s">
        <v>58</v>
      </c>
      <c r="B4" s="148"/>
      <c r="C4" s="148"/>
      <c r="D4" s="147">
        <f>COUNTA($I$8:$XFA$8)</f>
        <v>7</v>
      </c>
      <c r="E4" s="147"/>
      <c r="F4" s="29"/>
      <c r="G4" s="10"/>
      <c r="H4" s="10"/>
    </row>
    <row r="5" spans="1:16" s="68" customFormat="1" ht="17.25">
      <c r="A5" s="148" t="s">
        <v>59</v>
      </c>
      <c r="B5" s="148"/>
      <c r="C5" s="148"/>
      <c r="D5" s="147">
        <f>COUNTA($H$9:$H$1000)</f>
        <v>12</v>
      </c>
      <c r="E5" s="147"/>
      <c r="F5" s="66"/>
      <c r="G5" s="67"/>
      <c r="H5" s="67"/>
      <c r="I5" s="68" t="str">
        <f>IF( I6&lt;$D$5,"空白",".")</f>
        <v>.</v>
      </c>
      <c r="J5" s="68" t="str">
        <f>IF( J6&lt;$D$5,"空白",".")</f>
        <v>.</v>
      </c>
      <c r="K5" s="68" t="str">
        <f t="shared" ref="K5:O5" si="0">IF( K6&lt;$D$5,"空白",".")</f>
        <v>.</v>
      </c>
      <c r="L5" s="68" t="str">
        <f t="shared" si="0"/>
        <v>.</v>
      </c>
      <c r="M5" s="68" t="str">
        <f t="shared" si="0"/>
        <v>.</v>
      </c>
      <c r="N5" s="68" t="str">
        <f t="shared" si="0"/>
        <v>.</v>
      </c>
      <c r="O5" s="68" t="str">
        <f t="shared" si="0"/>
        <v>.</v>
      </c>
    </row>
    <row r="6" spans="1:16" s="59" customFormat="1">
      <c r="A6" s="55"/>
      <c r="B6" s="55"/>
      <c r="C6" s="55"/>
      <c r="D6" s="55"/>
      <c r="E6" s="55"/>
      <c r="F6" s="55"/>
      <c r="G6" s="145" t="s">
        <v>39</v>
      </c>
      <c r="H6" s="58" t="s">
        <v>32</v>
      </c>
      <c r="I6" s="59">
        <f>COUNT(I9:I212)</f>
        <v>12</v>
      </c>
      <c r="J6" s="59">
        <f>COUNT(J9:J212)</f>
        <v>12</v>
      </c>
      <c r="K6" s="59">
        <f t="shared" ref="K6:O6" si="1">COUNT(K9:K212)</f>
        <v>12</v>
      </c>
      <c r="L6" s="59">
        <f t="shared" si="1"/>
        <v>12</v>
      </c>
      <c r="M6" s="59">
        <f t="shared" si="1"/>
        <v>12</v>
      </c>
      <c r="N6" s="59">
        <f t="shared" si="1"/>
        <v>12</v>
      </c>
      <c r="O6" s="59">
        <f t="shared" si="1"/>
        <v>12</v>
      </c>
    </row>
    <row r="7" spans="1:16" s="62" customFormat="1" ht="14.25">
      <c r="A7" s="60"/>
      <c r="B7" s="60"/>
      <c r="C7" s="60"/>
      <c r="D7" s="60"/>
      <c r="E7" s="56"/>
      <c r="F7" s="56"/>
      <c r="G7" s="145"/>
      <c r="H7" s="61" t="s">
        <v>31</v>
      </c>
      <c r="I7" s="120">
        <v>1</v>
      </c>
      <c r="J7" s="62">
        <f>I7+1</f>
        <v>2</v>
      </c>
      <c r="K7" s="62">
        <f t="shared" ref="K7:O7" si="2">J7+1</f>
        <v>3</v>
      </c>
      <c r="L7" s="62">
        <f t="shared" si="2"/>
        <v>4</v>
      </c>
      <c r="M7" s="62">
        <f t="shared" si="2"/>
        <v>5</v>
      </c>
      <c r="N7" s="62">
        <f t="shared" si="2"/>
        <v>6</v>
      </c>
      <c r="O7" s="62">
        <f t="shared" si="2"/>
        <v>7</v>
      </c>
    </row>
    <row r="8" spans="1:16" s="64" customFormat="1" ht="57.75">
      <c r="A8" s="63"/>
      <c r="B8" s="56"/>
      <c r="C8" s="56"/>
      <c r="D8" s="56"/>
      <c r="E8" s="56"/>
      <c r="F8" s="56"/>
      <c r="G8" s="145"/>
      <c r="H8" s="122" t="s">
        <v>147</v>
      </c>
      <c r="I8" s="122" t="s">
        <v>197</v>
      </c>
      <c r="J8" s="122" t="s">
        <v>198</v>
      </c>
      <c r="K8" s="122" t="s">
        <v>199</v>
      </c>
      <c r="L8" s="122" t="s">
        <v>151</v>
      </c>
      <c r="M8" s="122" t="s">
        <v>152</v>
      </c>
      <c r="N8" s="122" t="s">
        <v>153</v>
      </c>
      <c r="O8" s="122" t="s">
        <v>154</v>
      </c>
      <c r="P8" s="122"/>
    </row>
    <row r="9" spans="1:16" s="57" customFormat="1">
      <c r="A9" s="56"/>
      <c r="B9" s="56"/>
      <c r="C9" s="56"/>
      <c r="D9" s="56"/>
      <c r="E9" s="56"/>
      <c r="F9" s="56"/>
      <c r="G9" s="65">
        <v>1</v>
      </c>
      <c r="H9" s="123" t="s">
        <v>155</v>
      </c>
      <c r="I9" s="124">
        <v>63.655784758296399</v>
      </c>
      <c r="J9" s="124">
        <v>61.229295351595283</v>
      </c>
      <c r="K9" s="124">
        <v>55.146131436480772</v>
      </c>
      <c r="L9" s="124">
        <v>67.840132417379721</v>
      </c>
      <c r="M9" s="124">
        <v>53.636579646789798</v>
      </c>
      <c r="N9" s="124">
        <v>51.559573990430401</v>
      </c>
      <c r="O9" s="124">
        <v>48.798803109654486</v>
      </c>
      <c r="P9" s="124"/>
    </row>
    <row r="10" spans="1:16" s="57" customFormat="1">
      <c r="A10" s="56"/>
      <c r="B10" s="56"/>
      <c r="C10" s="56"/>
      <c r="D10" s="56"/>
      <c r="E10" s="56"/>
      <c r="F10" s="56"/>
      <c r="G10" s="65">
        <f>G9+1</f>
        <v>2</v>
      </c>
      <c r="H10" s="123" t="s">
        <v>196</v>
      </c>
      <c r="I10" s="124">
        <v>61.604211461275341</v>
      </c>
      <c r="J10" s="124">
        <v>63.320782734154051</v>
      </c>
      <c r="K10" s="124">
        <v>65.574715671998064</v>
      </c>
      <c r="L10" s="124">
        <v>53.878289655952109</v>
      </c>
      <c r="M10" s="124">
        <v>67.532141876102429</v>
      </c>
      <c r="N10" s="124">
        <v>59.547635892634901</v>
      </c>
      <c r="O10" s="124">
        <v>51.887595113400103</v>
      </c>
      <c r="P10" s="124"/>
    </row>
    <row r="11" spans="1:16" s="57" customFormat="1">
      <c r="A11" s="56"/>
      <c r="B11" s="56"/>
      <c r="C11" s="56"/>
      <c r="D11" s="56"/>
      <c r="E11" s="56"/>
      <c r="F11" s="56"/>
      <c r="G11" s="65">
        <f t="shared" ref="G11:G20" si="3">G10+1</f>
        <v>3</v>
      </c>
      <c r="H11" s="123" t="s">
        <v>157</v>
      </c>
      <c r="I11" s="124">
        <v>57.501064867233239</v>
      </c>
      <c r="J11" s="124">
        <v>50.622466482904393</v>
      </c>
      <c r="K11" s="124">
        <v>45.739957420131837</v>
      </c>
      <c r="L11" s="124">
        <v>54.343684414666363</v>
      </c>
      <c r="M11" s="124">
        <v>53.062382860454569</v>
      </c>
      <c r="N11" s="124">
        <v>62.971090993579693</v>
      </c>
      <c r="O11" s="124">
        <v>50.85799777881823</v>
      </c>
      <c r="P11" s="124"/>
    </row>
    <row r="12" spans="1:16" s="57" customFormat="1">
      <c r="A12" s="56"/>
      <c r="B12" s="56"/>
      <c r="C12" s="56"/>
      <c r="D12" s="56"/>
      <c r="E12" s="56"/>
      <c r="F12" s="56"/>
      <c r="G12" s="65">
        <f t="shared" si="3"/>
        <v>4</v>
      </c>
      <c r="H12" s="123" t="s">
        <v>158</v>
      </c>
      <c r="I12" s="124">
        <v>51.859238300425325</v>
      </c>
      <c r="J12" s="124">
        <v>44.646788247022194</v>
      </c>
      <c r="K12" s="124">
        <v>55.350613480314443</v>
      </c>
      <c r="L12" s="124">
        <v>42.243420688095775</v>
      </c>
      <c r="M12" s="124">
        <v>40.544892918346505</v>
      </c>
      <c r="N12" s="124">
        <v>54.29833807118623</v>
      </c>
      <c r="O12" s="124">
        <v>50.85799777881823</v>
      </c>
      <c r="P12" s="124"/>
    </row>
    <row r="13" spans="1:16" s="57" customFormat="1">
      <c r="A13" s="56"/>
      <c r="B13" s="56"/>
      <c r="C13" s="56"/>
      <c r="D13" s="56"/>
      <c r="E13" s="56"/>
      <c r="F13" s="56"/>
      <c r="G13" s="65">
        <f t="shared" si="3"/>
        <v>5</v>
      </c>
      <c r="H13" s="123" t="s">
        <v>159</v>
      </c>
      <c r="I13" s="124">
        <v>51.089898314042436</v>
      </c>
      <c r="J13" s="124">
        <v>48.381587144448567</v>
      </c>
      <c r="K13" s="124">
        <v>50.034080340638958</v>
      </c>
      <c r="L13" s="124">
        <v>51.085921103666593</v>
      </c>
      <c r="M13" s="124">
        <v>42.497161991886294</v>
      </c>
      <c r="N13" s="124">
        <v>38.550444606840202</v>
      </c>
      <c r="O13" s="124">
        <v>65.272360462964429</v>
      </c>
      <c r="P13" s="124"/>
    </row>
    <row r="14" spans="1:16" s="57" customFormat="1">
      <c r="A14" s="56"/>
      <c r="B14" s="56"/>
      <c r="C14" s="56"/>
      <c r="D14" s="56"/>
      <c r="E14" s="56"/>
      <c r="F14" s="56"/>
      <c r="G14" s="65">
        <f t="shared" si="3"/>
        <v>6</v>
      </c>
      <c r="H14" s="123" t="s">
        <v>160</v>
      </c>
      <c r="I14" s="124">
        <v>26.471018749789753</v>
      </c>
      <c r="J14" s="124">
        <v>24.777658112713901</v>
      </c>
      <c r="K14" s="124">
        <v>33.67551683394516</v>
      </c>
      <c r="L14" s="124">
        <v>29.212367444096678</v>
      </c>
      <c r="M14" s="124">
        <v>38.018427058471481</v>
      </c>
      <c r="N14" s="124">
        <v>45.625585148792766</v>
      </c>
      <c r="O14" s="124">
        <v>27.177259083435182</v>
      </c>
      <c r="P14" s="124"/>
    </row>
    <row r="15" spans="1:16" s="57" customFormat="1">
      <c r="F15" s="59"/>
      <c r="G15" s="65">
        <f t="shared" si="3"/>
        <v>7</v>
      </c>
      <c r="H15" s="123" t="s">
        <v>161</v>
      </c>
      <c r="I15" s="124">
        <v>57.244618205105596</v>
      </c>
      <c r="J15" s="124">
        <v>51.070642350595556</v>
      </c>
      <c r="K15" s="124">
        <v>68.437464285669492</v>
      </c>
      <c r="L15" s="124">
        <v>38.985657377095997</v>
      </c>
      <c r="M15" s="124">
        <v>40.774571632880594</v>
      </c>
      <c r="N15" s="124">
        <v>49.50550092986353</v>
      </c>
      <c r="O15" s="124">
        <v>57.035581786309457</v>
      </c>
      <c r="P15" s="124"/>
    </row>
    <row r="16" spans="1:16" s="57" customFormat="1">
      <c r="F16" s="59"/>
      <c r="G16" s="65">
        <f t="shared" si="3"/>
        <v>8</v>
      </c>
      <c r="H16" s="123" t="s">
        <v>162</v>
      </c>
      <c r="I16" s="124">
        <v>49.038325017021378</v>
      </c>
      <c r="J16" s="124">
        <v>55.403009071610157</v>
      </c>
      <c r="K16" s="124">
        <v>42.263762674959409</v>
      </c>
      <c r="L16" s="124">
        <v>54.343684414666363</v>
      </c>
      <c r="M16" s="124">
        <v>47.894611783437476</v>
      </c>
      <c r="N16" s="124">
        <v>37.181062566462288</v>
      </c>
      <c r="O16" s="124">
        <v>39.532427098417642</v>
      </c>
      <c r="P16" s="124"/>
    </row>
    <row r="17" spans="6:16" s="57" customFormat="1">
      <c r="F17" s="59"/>
      <c r="G17" s="65">
        <f t="shared" si="3"/>
        <v>9</v>
      </c>
      <c r="H17" s="123" t="s">
        <v>163</v>
      </c>
      <c r="I17" s="124">
        <v>48.268985030638476</v>
      </c>
      <c r="J17" s="124">
        <v>55.403009071610157</v>
      </c>
      <c r="K17" s="124">
        <v>50.64752647213998</v>
      </c>
      <c r="L17" s="124">
        <v>58.997632001808896</v>
      </c>
      <c r="M17" s="124">
        <v>61.675334655483056</v>
      </c>
      <c r="N17" s="124">
        <v>35.583450186021388</v>
      </c>
      <c r="O17" s="124">
        <v>43.650816436745131</v>
      </c>
      <c r="P17" s="124"/>
    </row>
    <row r="18" spans="6:16" s="57" customFormat="1">
      <c r="F18" s="59"/>
      <c r="G18" s="65">
        <f t="shared" si="3"/>
        <v>10</v>
      </c>
      <c r="H18" s="123" t="s">
        <v>164</v>
      </c>
      <c r="I18" s="124">
        <v>47.243198382127943</v>
      </c>
      <c r="J18" s="124">
        <v>52.564561909566109</v>
      </c>
      <c r="K18" s="124">
        <v>43.081690850294095</v>
      </c>
      <c r="L18" s="124">
        <v>46.897368275238307</v>
      </c>
      <c r="M18" s="124">
        <v>45.482985280829503</v>
      </c>
      <c r="N18" s="124">
        <v>64.5687033740206</v>
      </c>
      <c r="O18" s="124">
        <v>49.828400444236358</v>
      </c>
      <c r="P18" s="124"/>
    </row>
    <row r="19" spans="6:16" s="57" customFormat="1">
      <c r="F19" s="59"/>
      <c r="G19" s="65">
        <f t="shared" si="3"/>
        <v>11</v>
      </c>
      <c r="H19" s="123" t="s">
        <v>165</v>
      </c>
      <c r="I19" s="124">
        <v>44.165838436596374</v>
      </c>
      <c r="J19" s="124">
        <v>42.107124996772271</v>
      </c>
      <c r="K19" s="124">
        <v>48.193741946135908</v>
      </c>
      <c r="L19" s="124">
        <v>47.828157792666815</v>
      </c>
      <c r="M19" s="124">
        <v>64.316639872625117</v>
      </c>
      <c r="N19" s="124">
        <v>43.79974242828888</v>
      </c>
      <c r="O19" s="124">
        <v>53.94678978256384</v>
      </c>
      <c r="P19" s="124"/>
    </row>
    <row r="20" spans="6:16" s="57" customFormat="1">
      <c r="F20" s="59"/>
      <c r="G20" s="65">
        <f t="shared" si="3"/>
        <v>12</v>
      </c>
      <c r="H20" s="123" t="s">
        <v>166</v>
      </c>
      <c r="I20" s="124">
        <v>41.857818477447687</v>
      </c>
      <c r="J20" s="124">
        <v>50.473074527007341</v>
      </c>
      <c r="K20" s="124">
        <v>41.854798587292059</v>
      </c>
      <c r="L20" s="124">
        <v>54.343684414666363</v>
      </c>
      <c r="M20" s="124">
        <v>44.564270422693127</v>
      </c>
      <c r="N20" s="124">
        <v>56.808871811879072</v>
      </c>
      <c r="O20" s="124">
        <v>61.153971124636946</v>
      </c>
      <c r="P20" s="124"/>
    </row>
    <row r="21" spans="6:16" s="57" customFormat="1">
      <c r="F21" s="59"/>
      <c r="G21" s="65"/>
      <c r="H21" s="123"/>
      <c r="I21" s="124"/>
      <c r="J21" s="124"/>
      <c r="K21" s="124"/>
      <c r="L21" s="124"/>
      <c r="M21" s="124"/>
      <c r="N21" s="124"/>
      <c r="O21" s="124"/>
      <c r="P21" s="124"/>
    </row>
    <row r="22" spans="6:16" s="57" customFormat="1">
      <c r="F22" s="59"/>
      <c r="G22" s="65"/>
      <c r="H22" s="123"/>
      <c r="I22" s="124"/>
      <c r="J22" s="124"/>
      <c r="K22" s="124"/>
      <c r="L22" s="124"/>
      <c r="M22" s="124"/>
      <c r="N22" s="124"/>
      <c r="O22" s="124"/>
      <c r="P22" s="124"/>
    </row>
    <row r="23" spans="6:16" s="57" customFormat="1">
      <c r="F23" s="59"/>
      <c r="G23" s="65"/>
      <c r="H23" s="123"/>
      <c r="I23" s="124"/>
      <c r="J23" s="124"/>
      <c r="K23" s="124"/>
      <c r="L23" s="124"/>
      <c r="M23" s="124"/>
      <c r="N23" s="124"/>
      <c r="O23" s="124"/>
      <c r="P23" s="124"/>
    </row>
    <row r="24" spans="6:16" s="57" customFormat="1">
      <c r="F24" s="59"/>
      <c r="G24" s="65"/>
      <c r="H24" s="123"/>
      <c r="I24" s="124"/>
      <c r="J24" s="124"/>
      <c r="K24" s="124"/>
      <c r="L24" s="124"/>
      <c r="M24" s="124"/>
      <c r="N24" s="124"/>
      <c r="O24" s="124"/>
      <c r="P24" s="124"/>
    </row>
    <row r="25" spans="6:16" s="57" customFormat="1">
      <c r="F25" s="59"/>
      <c r="G25" s="65"/>
      <c r="H25" s="123"/>
      <c r="I25" s="124"/>
      <c r="J25" s="124"/>
      <c r="K25" s="124"/>
      <c r="L25" s="124"/>
      <c r="M25" s="124"/>
      <c r="N25" s="124"/>
      <c r="O25" s="124"/>
      <c r="P25" s="124"/>
    </row>
    <row r="26" spans="6:16" s="57" customFormat="1">
      <c r="F26" s="59"/>
      <c r="G26" s="65"/>
      <c r="H26" s="123"/>
      <c r="I26" s="124"/>
      <c r="J26" s="124"/>
      <c r="K26" s="124"/>
      <c r="L26" s="124"/>
      <c r="M26" s="124"/>
      <c r="N26" s="124"/>
      <c r="O26" s="124"/>
      <c r="P26" s="124"/>
    </row>
    <row r="27" spans="6:16">
      <c r="G27" s="65"/>
      <c r="H27" s="123"/>
      <c r="I27" s="124"/>
      <c r="J27" s="124"/>
      <c r="K27" s="124"/>
      <c r="L27" s="124"/>
      <c r="M27" s="124"/>
      <c r="N27" s="124"/>
      <c r="O27" s="124"/>
      <c r="P27" s="124"/>
    </row>
    <row r="28" spans="6:16">
      <c r="G28" s="65"/>
      <c r="H28" s="123"/>
      <c r="I28" s="124"/>
      <c r="J28" s="124"/>
      <c r="K28" s="124"/>
      <c r="L28" s="124"/>
      <c r="M28" s="124"/>
      <c r="N28" s="124"/>
      <c r="O28" s="124"/>
      <c r="P28" s="124"/>
    </row>
    <row r="29" spans="6:16">
      <c r="G29" s="65"/>
      <c r="H29" s="123"/>
      <c r="I29" s="124"/>
      <c r="J29" s="124"/>
      <c r="K29" s="124"/>
      <c r="L29" s="124"/>
      <c r="M29" s="124"/>
      <c r="N29" s="124"/>
      <c r="O29" s="124"/>
      <c r="P29" s="124"/>
    </row>
    <row r="30" spans="6:16">
      <c r="G30" s="65"/>
      <c r="H30" s="123"/>
      <c r="I30" s="124"/>
      <c r="J30" s="124"/>
      <c r="K30" s="124"/>
      <c r="L30" s="124"/>
      <c r="M30" s="124"/>
      <c r="N30" s="124"/>
      <c r="O30" s="124"/>
      <c r="P30" s="124"/>
    </row>
    <row r="31" spans="6:16">
      <c r="G31" s="65"/>
      <c r="H31" s="123"/>
      <c r="I31" s="124"/>
      <c r="J31" s="124"/>
      <c r="K31" s="124"/>
      <c r="L31" s="124"/>
      <c r="M31" s="124"/>
      <c r="N31" s="124"/>
      <c r="O31" s="124"/>
      <c r="P31" s="124"/>
    </row>
    <row r="32" spans="6:16">
      <c r="G32" s="65"/>
      <c r="H32" s="123"/>
      <c r="I32" s="124"/>
      <c r="J32" s="124"/>
      <c r="K32" s="124"/>
      <c r="L32" s="124"/>
      <c r="M32" s="124"/>
      <c r="N32" s="124"/>
      <c r="O32" s="124"/>
      <c r="P32" s="124"/>
    </row>
    <row r="33" spans="7:16">
      <c r="G33" s="65"/>
      <c r="H33" s="123"/>
      <c r="I33" s="124"/>
      <c r="J33" s="124"/>
      <c r="K33" s="124"/>
      <c r="L33" s="124"/>
      <c r="M33" s="124"/>
      <c r="N33" s="124"/>
      <c r="O33" s="124"/>
      <c r="P33" s="124"/>
    </row>
    <row r="34" spans="7:16">
      <c r="G34" s="65"/>
      <c r="H34" s="123"/>
      <c r="I34" s="124"/>
      <c r="J34" s="124"/>
      <c r="K34" s="124"/>
      <c r="L34" s="124"/>
      <c r="M34" s="124"/>
      <c r="N34" s="124"/>
      <c r="O34" s="124"/>
      <c r="P34" s="124"/>
    </row>
    <row r="35" spans="7:16">
      <c r="G35" s="65"/>
      <c r="H35" s="123"/>
      <c r="I35" s="124"/>
      <c r="J35" s="124"/>
      <c r="K35" s="124"/>
      <c r="L35" s="124"/>
      <c r="M35" s="124"/>
      <c r="N35" s="124"/>
      <c r="O35" s="124"/>
      <c r="P35" s="124"/>
    </row>
    <row r="36" spans="7:16">
      <c r="G36" s="65"/>
      <c r="H36" s="123"/>
      <c r="I36" s="124"/>
      <c r="J36" s="124"/>
      <c r="K36" s="124"/>
      <c r="L36" s="124"/>
      <c r="M36" s="124"/>
      <c r="N36" s="124"/>
      <c r="O36" s="124"/>
      <c r="P36" s="124"/>
    </row>
    <row r="37" spans="7:16">
      <c r="G37" s="65"/>
      <c r="H37" s="123"/>
      <c r="I37" s="124"/>
      <c r="J37" s="124"/>
      <c r="K37" s="124"/>
      <c r="L37" s="124"/>
      <c r="M37" s="124"/>
      <c r="N37" s="124"/>
      <c r="O37" s="124"/>
      <c r="P37" s="124"/>
    </row>
    <row r="38" spans="7:16">
      <c r="G38" s="65"/>
      <c r="H38" s="123"/>
      <c r="I38" s="124"/>
      <c r="J38" s="124"/>
      <c r="K38" s="124"/>
      <c r="L38" s="124"/>
      <c r="M38" s="124"/>
      <c r="N38" s="124"/>
      <c r="O38" s="124"/>
      <c r="P38" s="124"/>
    </row>
    <row r="39" spans="7:16">
      <c r="G39" s="65"/>
      <c r="H39" s="123"/>
      <c r="I39" s="124"/>
      <c r="J39" s="124"/>
      <c r="K39" s="124"/>
      <c r="L39" s="124"/>
      <c r="M39" s="124"/>
      <c r="N39" s="124"/>
      <c r="O39" s="124"/>
      <c r="P39" s="124"/>
    </row>
    <row r="40" spans="7:16">
      <c r="G40" s="65"/>
      <c r="H40" s="123"/>
      <c r="I40" s="124"/>
      <c r="J40" s="124"/>
      <c r="K40" s="124"/>
      <c r="L40" s="124"/>
      <c r="M40" s="124"/>
      <c r="N40" s="124"/>
      <c r="O40" s="124"/>
      <c r="P40" s="124"/>
    </row>
    <row r="41" spans="7:16">
      <c r="G41" s="65"/>
      <c r="H41" s="123"/>
      <c r="I41" s="124"/>
      <c r="J41" s="124"/>
      <c r="K41" s="124"/>
      <c r="L41" s="124"/>
      <c r="M41" s="124"/>
      <c r="N41" s="124"/>
      <c r="O41" s="124"/>
      <c r="P41" s="124"/>
    </row>
    <row r="42" spans="7:16">
      <c r="G42" s="65"/>
      <c r="H42" s="123"/>
      <c r="I42" s="124"/>
      <c r="J42" s="124"/>
      <c r="K42" s="124"/>
      <c r="L42" s="124"/>
      <c r="M42" s="124"/>
      <c r="N42" s="124"/>
      <c r="O42" s="124"/>
      <c r="P42" s="124"/>
    </row>
    <row r="43" spans="7:16">
      <c r="G43" s="65"/>
      <c r="H43" s="123"/>
      <c r="I43" s="124"/>
      <c r="J43" s="124"/>
      <c r="K43" s="124"/>
      <c r="L43" s="124"/>
      <c r="M43" s="124"/>
      <c r="N43" s="124"/>
      <c r="O43" s="124"/>
      <c r="P43" s="124"/>
    </row>
    <row r="44" spans="7:16">
      <c r="G44" s="65"/>
      <c r="H44" s="123"/>
      <c r="I44" s="124"/>
      <c r="J44" s="124"/>
      <c r="K44" s="124"/>
      <c r="L44" s="124"/>
      <c r="M44" s="124"/>
      <c r="N44" s="124"/>
      <c r="O44" s="124"/>
      <c r="P44" s="124"/>
    </row>
    <row r="45" spans="7:16">
      <c r="G45" s="65"/>
      <c r="H45" s="123"/>
      <c r="I45" s="124"/>
      <c r="J45" s="124"/>
      <c r="K45" s="124"/>
      <c r="L45" s="124"/>
      <c r="M45" s="124"/>
      <c r="N45" s="124"/>
      <c r="O45" s="124"/>
      <c r="P45" s="124"/>
    </row>
    <row r="46" spans="7:16">
      <c r="G46" s="65"/>
      <c r="H46" s="123"/>
      <c r="I46" s="124"/>
      <c r="J46" s="124"/>
      <c r="K46" s="124"/>
      <c r="L46" s="124"/>
      <c r="M46" s="124"/>
      <c r="N46" s="124"/>
      <c r="O46" s="124"/>
      <c r="P46" s="124"/>
    </row>
    <row r="47" spans="7:16">
      <c r="G47" s="65"/>
      <c r="H47" s="123"/>
      <c r="I47" s="124"/>
      <c r="J47" s="124"/>
      <c r="K47" s="124"/>
      <c r="L47" s="124"/>
      <c r="M47" s="124"/>
      <c r="N47" s="124"/>
      <c r="O47" s="124"/>
      <c r="P47" s="124"/>
    </row>
    <row r="48" spans="7:16">
      <c r="G48" s="65"/>
      <c r="H48" s="123"/>
      <c r="I48" s="124"/>
      <c r="J48" s="124"/>
      <c r="K48" s="124"/>
      <c r="L48" s="124"/>
      <c r="M48" s="124"/>
      <c r="N48" s="124"/>
      <c r="O48" s="124"/>
      <c r="P48" s="124"/>
    </row>
    <row r="49" spans="7:16">
      <c r="G49" s="65"/>
      <c r="H49" s="123"/>
      <c r="I49" s="124"/>
      <c r="J49" s="124"/>
      <c r="K49" s="124"/>
      <c r="L49" s="124"/>
      <c r="M49" s="124"/>
      <c r="N49" s="124"/>
      <c r="O49" s="124"/>
      <c r="P49" s="124"/>
    </row>
    <row r="50" spans="7:16">
      <c r="G50" s="65"/>
      <c r="H50" s="123"/>
      <c r="I50" s="124"/>
      <c r="J50" s="124"/>
      <c r="K50" s="124"/>
      <c r="L50" s="124"/>
      <c r="M50" s="124"/>
      <c r="N50" s="124"/>
      <c r="O50" s="124"/>
      <c r="P50" s="124"/>
    </row>
    <row r="51" spans="7:16">
      <c r="G51" s="65"/>
      <c r="H51" s="123"/>
      <c r="I51" s="124"/>
      <c r="J51" s="124"/>
      <c r="K51" s="124"/>
      <c r="L51" s="124"/>
      <c r="M51" s="124"/>
      <c r="N51" s="124"/>
      <c r="O51" s="124"/>
      <c r="P51" s="124"/>
    </row>
    <row r="52" spans="7:16">
      <c r="G52" s="65"/>
      <c r="H52" s="123"/>
      <c r="I52" s="124"/>
      <c r="J52" s="124"/>
      <c r="K52" s="124"/>
      <c r="L52" s="124"/>
      <c r="M52" s="124"/>
      <c r="N52" s="124"/>
      <c r="O52" s="124"/>
      <c r="P52" s="124"/>
    </row>
    <row r="53" spans="7:16">
      <c r="G53" s="65"/>
      <c r="H53" s="123"/>
      <c r="I53" s="124"/>
      <c r="J53" s="124"/>
      <c r="K53" s="124"/>
      <c r="L53" s="124"/>
      <c r="M53" s="124"/>
      <c r="N53" s="124"/>
      <c r="O53" s="124"/>
      <c r="P53" s="124"/>
    </row>
    <row r="54" spans="7:16">
      <c r="G54" s="65"/>
      <c r="H54" s="123"/>
      <c r="I54" s="124"/>
      <c r="J54" s="124"/>
      <c r="K54" s="124"/>
      <c r="L54" s="124"/>
      <c r="M54" s="124"/>
      <c r="N54" s="124"/>
      <c r="O54" s="124"/>
      <c r="P54" s="124"/>
    </row>
    <row r="55" spans="7:16">
      <c r="G55" s="65"/>
      <c r="H55" s="123"/>
      <c r="I55" s="124"/>
      <c r="J55" s="124"/>
      <c r="K55" s="124"/>
      <c r="L55" s="124"/>
      <c r="M55" s="124"/>
      <c r="N55" s="124"/>
      <c r="O55" s="124"/>
      <c r="P55" s="124"/>
    </row>
    <row r="56" spans="7:16">
      <c r="I56" s="57"/>
      <c r="J56" s="57"/>
      <c r="K56" s="57"/>
      <c r="L56" s="57"/>
      <c r="M56" s="57"/>
      <c r="N56" s="57"/>
    </row>
    <row r="57" spans="7:16">
      <c r="H57" s="3"/>
      <c r="I57" s="57"/>
      <c r="J57" s="57"/>
      <c r="K57" s="57"/>
      <c r="L57" s="57"/>
      <c r="M57" s="57"/>
      <c r="N57" s="57"/>
    </row>
  </sheetData>
  <sortState xmlns:xlrd2="http://schemas.microsoft.com/office/spreadsheetml/2017/richdata2" ref="H10:H31">
    <sortCondition ref="H10"/>
  </sortState>
  <mergeCells count="6">
    <mergeCell ref="G6:G8"/>
    <mergeCell ref="A1:H2"/>
    <mergeCell ref="D5:E5"/>
    <mergeCell ref="D4:E4"/>
    <mergeCell ref="A4:C4"/>
    <mergeCell ref="A5:C5"/>
  </mergeCells>
  <phoneticPr fontId="4" type="Hiragana"/>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手順書へ">
                <anchor moveWithCells="1" sizeWithCells="1">
                  <from>
                    <xdr:col>0</xdr:col>
                    <xdr:colOff>28575</xdr:colOff>
                    <xdr:row>8</xdr:row>
                    <xdr:rowOff>0</xdr:rowOff>
                  </from>
                  <to>
                    <xdr:col>5</xdr:col>
                    <xdr:colOff>0</xdr:colOff>
                    <xdr:row>8</xdr:row>
                    <xdr:rowOff>0</xdr:rowOff>
                  </to>
                </anchor>
              </controlPr>
            </control>
          </mc:Choice>
        </mc:AlternateContent>
        <mc:AlternateContent xmlns:mc="http://schemas.openxmlformats.org/markup-compatibility/2006">
          <mc:Choice Requires="x14">
            <control shapeId="68611" r:id="rId5" name="Button 3">
              <controlPr defaultSize="0" print="0" autoFill="0" autoPict="0" macro="[0]!メイン">
                <anchor moveWithCells="1" sizeWithCells="1">
                  <from>
                    <xdr:col>0</xdr:col>
                    <xdr:colOff>28575</xdr:colOff>
                    <xdr:row>5</xdr:row>
                    <xdr:rowOff>142875</xdr:rowOff>
                  </from>
                  <to>
                    <xdr:col>5</xdr:col>
                    <xdr:colOff>0</xdr:colOff>
                    <xdr:row>7</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6" tint="-0.249977111117893"/>
  </sheetPr>
  <dimension ref="A1:K79"/>
  <sheetViews>
    <sheetView zoomScale="115" zoomScaleNormal="115" workbookViewId="0">
      <pane ySplit="10" topLeftCell="A11" activePane="bottomLeft" state="frozen"/>
      <selection activeCell="D12" sqref="D12"/>
      <selection pane="bottomLeft"/>
    </sheetView>
  </sheetViews>
  <sheetFormatPr defaultColWidth="9.140625" defaultRowHeight="12"/>
  <cols>
    <col min="1" max="1" width="5" style="1" customWidth="1"/>
    <col min="2" max="2" width="13.85546875" style="5" bestFit="1" customWidth="1"/>
    <col min="3" max="3" width="9.7109375" style="5" bestFit="1" customWidth="1"/>
    <col min="4" max="5" width="13.85546875" style="1" bestFit="1" customWidth="1"/>
    <col min="6" max="6" width="25.7109375" style="3" customWidth="1"/>
    <col min="7" max="7" width="17.140625" style="3" customWidth="1"/>
    <col min="8" max="8" width="9.140625" style="3"/>
    <col min="9" max="9" width="10.7109375" style="3" bestFit="1" customWidth="1"/>
    <col min="10" max="10" width="11.85546875" style="3" bestFit="1" customWidth="1"/>
    <col min="11" max="16384" width="9.140625" style="3"/>
  </cols>
  <sheetData>
    <row r="1" spans="1:8" ht="27" customHeight="1">
      <c r="A1" s="49"/>
      <c r="B1" s="149" t="s">
        <v>38</v>
      </c>
      <c r="C1" s="149"/>
      <c r="D1" s="149"/>
      <c r="E1" s="149"/>
      <c r="F1" s="49"/>
    </row>
    <row r="2" spans="1:8">
      <c r="B2" s="26" t="s">
        <v>58</v>
      </c>
      <c r="C2" s="26">
        <v>7</v>
      </c>
    </row>
    <row r="3" spans="1:8">
      <c r="B3" s="26" t="s">
        <v>59</v>
      </c>
      <c r="C3" s="26">
        <v>12</v>
      </c>
    </row>
    <row r="4" spans="1:8">
      <c r="B4" s="26" t="s">
        <v>71</v>
      </c>
      <c r="C4" s="26">
        <f>MAX(A11:A211)</f>
        <v>7</v>
      </c>
    </row>
    <row r="5" spans="1:8">
      <c r="B5" s="26" t="s">
        <v>72</v>
      </c>
      <c r="C5" s="31">
        <f>(C2-1-C4)*MIN(C11:C212)/2+SUM(C11:C212)</f>
        <v>6.9799353253858065</v>
      </c>
    </row>
    <row r="7" spans="1:8" hidden="1">
      <c r="B7" s="4" t="s">
        <v>35</v>
      </c>
      <c r="C7" s="5">
        <v>0.71852642150867618</v>
      </c>
      <c r="D7" s="1">
        <v>-9.1074150761969439E-4</v>
      </c>
      <c r="E7" s="1">
        <v>0.28700281752210804</v>
      </c>
      <c r="F7" s="3">
        <v>-0.47078487506046984</v>
      </c>
      <c r="G7" s="3">
        <v>-8.4623908328804774E-21</v>
      </c>
      <c r="H7" s="3">
        <v>1.0000000005662122</v>
      </c>
    </row>
    <row r="8" spans="1:8" hidden="1">
      <c r="B8" s="4" t="s">
        <v>36</v>
      </c>
      <c r="C8" s="5">
        <v>0.32736357458014492</v>
      </c>
      <c r="D8" s="1">
        <v>-0.79192075786889315</v>
      </c>
      <c r="E8" s="1">
        <v>-0.18070879706514009</v>
      </c>
      <c r="F8" s="3">
        <v>-0.38857857427129905</v>
      </c>
      <c r="G8" s="3">
        <v>3.3603279801776303E-21</v>
      </c>
      <c r="H8" s="3">
        <v>0.99999999893437597</v>
      </c>
    </row>
    <row r="9" spans="1:8" hidden="1">
      <c r="B9" s="4" t="s">
        <v>37</v>
      </c>
      <c r="C9" s="5">
        <v>-0.33129376265966221</v>
      </c>
      <c r="D9" s="1">
        <v>4.3002996622065207E-2</v>
      </c>
      <c r="E9" s="1">
        <v>0.90213196676371288</v>
      </c>
      <c r="F9" s="3">
        <v>-0.12521076629955177</v>
      </c>
      <c r="G9" s="3">
        <v>2.9779598574194411E-21</v>
      </c>
      <c r="H9" s="3">
        <v>0.99999999972141351</v>
      </c>
    </row>
    <row r="10" spans="1:8">
      <c r="A10" s="50" t="s">
        <v>66</v>
      </c>
      <c r="B10" s="51" t="s">
        <v>67</v>
      </c>
      <c r="C10" s="51" t="s">
        <v>68</v>
      </c>
      <c r="D10" s="53" t="s">
        <v>65</v>
      </c>
      <c r="E10" s="53" t="s">
        <v>69</v>
      </c>
      <c r="F10" s="52" t="s">
        <v>70</v>
      </c>
      <c r="G10" s="54"/>
    </row>
    <row r="11" spans="1:8">
      <c r="A11" s="1">
        <v>1</v>
      </c>
      <c r="B11" s="5" t="s">
        <v>33</v>
      </c>
      <c r="C11" s="5">
        <v>3.5564444884835105</v>
      </c>
      <c r="D11" s="32">
        <v>50.80634983547872</v>
      </c>
      <c r="E11" s="32">
        <v>50.80634983547872</v>
      </c>
      <c r="F11" s="3" t="str">
        <f t="shared" ref="F11:F17" si="0">REPT("#",INT(C11*10))</f>
        <v>###################################</v>
      </c>
    </row>
    <row r="12" spans="1:8">
      <c r="A12" s="1">
        <v>2</v>
      </c>
      <c r="B12" s="5" t="s">
        <v>34</v>
      </c>
      <c r="C12" s="5">
        <v>1.2755125512534877</v>
      </c>
      <c r="D12" s="32">
        <v>18.221607875049823</v>
      </c>
      <c r="E12" s="32">
        <v>69.027957710528554</v>
      </c>
      <c r="F12" s="3" t="str">
        <f t="shared" si="0"/>
        <v>############</v>
      </c>
    </row>
    <row r="13" spans="1:8">
      <c r="A13" s="1">
        <v>3</v>
      </c>
      <c r="B13" s="5" t="s">
        <v>52</v>
      </c>
      <c r="C13" s="5">
        <v>0.8553324738444017</v>
      </c>
      <c r="D13" s="32">
        <v>12.21903534063431</v>
      </c>
      <c r="E13" s="32">
        <v>81.24699305116286</v>
      </c>
      <c r="F13" s="3" t="str">
        <f t="shared" si="0"/>
        <v>########</v>
      </c>
    </row>
    <row r="14" spans="1:8">
      <c r="A14" s="1">
        <v>4</v>
      </c>
      <c r="B14" s="5" t="s">
        <v>53</v>
      </c>
      <c r="C14" s="5">
        <v>0.68730527062725488</v>
      </c>
      <c r="D14" s="32">
        <v>9.8186467232464985</v>
      </c>
      <c r="E14" s="32">
        <v>91.065639774409362</v>
      </c>
      <c r="F14" s="3" t="str">
        <f t="shared" si="0"/>
        <v>######</v>
      </c>
    </row>
    <row r="15" spans="1:8">
      <c r="A15" s="1">
        <v>5</v>
      </c>
      <c r="B15" s="5" t="s">
        <v>140</v>
      </c>
      <c r="C15" s="5">
        <v>0.48065779365719141</v>
      </c>
      <c r="D15" s="32">
        <v>6.8665399093884485</v>
      </c>
      <c r="E15" s="32">
        <v>97.932179683797813</v>
      </c>
      <c r="F15" s="3" t="str">
        <f t="shared" si="0"/>
        <v>####</v>
      </c>
    </row>
    <row r="16" spans="1:8">
      <c r="A16" s="1">
        <v>6</v>
      </c>
      <c r="B16" s="5" t="s">
        <v>141</v>
      </c>
      <c r="C16" s="5">
        <v>0.10461810802737434</v>
      </c>
      <c r="D16" s="32">
        <v>1.494544400391062</v>
      </c>
      <c r="E16" s="32">
        <v>99.426724084188876</v>
      </c>
      <c r="F16" s="3" t="str">
        <f t="shared" si="0"/>
        <v>#</v>
      </c>
    </row>
    <row r="17" spans="1:11">
      <c r="A17" s="1">
        <v>7</v>
      </c>
      <c r="B17" s="5" t="s">
        <v>142</v>
      </c>
      <c r="C17" s="5">
        <v>4.012927898517013E-2</v>
      </c>
      <c r="D17" s="32">
        <v>0.57327541407385896</v>
      </c>
      <c r="E17" s="32">
        <v>99.999999498262738</v>
      </c>
      <c r="F17" s="3" t="str">
        <f t="shared" si="0"/>
        <v/>
      </c>
    </row>
    <row r="18" spans="1:11">
      <c r="D18" s="32"/>
      <c r="E18" s="32"/>
      <c r="G18" s="1"/>
      <c r="H18" s="5"/>
      <c r="I18" s="5"/>
      <c r="J18" s="32"/>
      <c r="K18" s="32"/>
    </row>
    <row r="19" spans="1:11">
      <c r="D19" s="5"/>
      <c r="E19" s="32"/>
      <c r="G19" s="1"/>
      <c r="H19" s="5"/>
      <c r="I19" s="5"/>
      <c r="J19" s="32"/>
      <c r="K19" s="32"/>
    </row>
    <row r="20" spans="1:11">
      <c r="D20" s="5"/>
      <c r="E20" s="32"/>
      <c r="G20" s="1"/>
      <c r="H20" s="5"/>
      <c r="I20" s="5"/>
      <c r="J20" s="32"/>
      <c r="K20" s="32"/>
    </row>
    <row r="21" spans="1:11">
      <c r="D21" s="5"/>
      <c r="E21" s="32"/>
      <c r="G21" s="1"/>
      <c r="H21" s="5"/>
      <c r="I21" s="5"/>
      <c r="J21" s="32"/>
      <c r="K21" s="32"/>
    </row>
    <row r="22" spans="1:11">
      <c r="D22" s="5"/>
      <c r="E22" s="32"/>
      <c r="H22" s="33"/>
    </row>
    <row r="23" spans="1:11">
      <c r="D23" s="5"/>
      <c r="E23" s="32"/>
    </row>
    <row r="24" spans="1:11">
      <c r="D24" s="32"/>
      <c r="E24" s="32"/>
    </row>
    <row r="25" spans="1:11">
      <c r="D25" s="32"/>
      <c r="E25" s="32"/>
    </row>
    <row r="26" spans="1:11">
      <c r="D26" s="32"/>
      <c r="E26" s="32"/>
    </row>
    <row r="27" spans="1:11">
      <c r="D27" s="32"/>
      <c r="E27" s="32"/>
    </row>
    <row r="28" spans="1:11">
      <c r="D28" s="32"/>
      <c r="E28" s="32"/>
    </row>
    <row r="29" spans="1:11">
      <c r="D29" s="32"/>
      <c r="E29" s="32"/>
    </row>
    <row r="30" spans="1:11">
      <c r="D30" s="32"/>
      <c r="E30" s="32"/>
    </row>
    <row r="31" spans="1:11">
      <c r="D31" s="32"/>
      <c r="E31" s="32"/>
    </row>
    <row r="32" spans="1:11">
      <c r="D32" s="32"/>
      <c r="E32" s="32"/>
    </row>
    <row r="33" spans="4:5">
      <c r="D33" s="32"/>
      <c r="E33" s="32"/>
    </row>
    <row r="34" spans="4:5">
      <c r="D34" s="32"/>
      <c r="E34" s="32"/>
    </row>
    <row r="35" spans="4:5">
      <c r="D35" s="32"/>
      <c r="E35" s="32"/>
    </row>
    <row r="36" spans="4:5">
      <c r="D36" s="32"/>
      <c r="E36" s="32"/>
    </row>
    <row r="37" spans="4:5">
      <c r="D37" s="32"/>
      <c r="E37" s="32"/>
    </row>
    <row r="38" spans="4:5">
      <c r="D38" s="32"/>
      <c r="E38" s="32"/>
    </row>
    <row r="39" spans="4:5">
      <c r="D39" s="32"/>
      <c r="E39" s="32"/>
    </row>
    <row r="40" spans="4:5">
      <c r="D40" s="32"/>
      <c r="E40" s="32"/>
    </row>
    <row r="41" spans="4:5">
      <c r="D41" s="32"/>
      <c r="E41" s="32"/>
    </row>
    <row r="42" spans="4:5">
      <c r="D42" s="32"/>
      <c r="E42" s="32"/>
    </row>
    <row r="43" spans="4:5">
      <c r="D43" s="32"/>
      <c r="E43" s="32"/>
    </row>
    <row r="44" spans="4:5">
      <c r="D44" s="32"/>
      <c r="E44" s="32"/>
    </row>
    <row r="45" spans="4:5">
      <c r="D45" s="32"/>
      <c r="E45" s="32"/>
    </row>
    <row r="46" spans="4:5">
      <c r="D46" s="32"/>
      <c r="E46" s="32"/>
    </row>
    <row r="47" spans="4:5">
      <c r="D47" s="32"/>
      <c r="E47" s="32"/>
    </row>
    <row r="48" spans="4:5">
      <c r="D48" s="32"/>
      <c r="E48" s="32"/>
    </row>
    <row r="49" spans="4:5">
      <c r="D49" s="32"/>
      <c r="E49" s="32"/>
    </row>
    <row r="50" spans="4:5">
      <c r="D50" s="32"/>
      <c r="E50" s="32"/>
    </row>
    <row r="51" spans="4:5">
      <c r="D51" s="32"/>
      <c r="E51" s="32"/>
    </row>
    <row r="52" spans="4:5">
      <c r="D52" s="32"/>
      <c r="E52" s="32"/>
    </row>
    <row r="53" spans="4:5">
      <c r="D53" s="32"/>
      <c r="E53" s="32"/>
    </row>
    <row r="54" spans="4:5">
      <c r="D54" s="32"/>
      <c r="E54" s="32"/>
    </row>
    <row r="55" spans="4:5">
      <c r="D55" s="32"/>
      <c r="E55" s="32"/>
    </row>
    <row r="56" spans="4:5">
      <c r="D56" s="32"/>
      <c r="E56" s="32"/>
    </row>
    <row r="57" spans="4:5">
      <c r="D57" s="32"/>
      <c r="E57" s="32"/>
    </row>
    <row r="58" spans="4:5">
      <c r="D58" s="32"/>
      <c r="E58" s="32"/>
    </row>
    <row r="59" spans="4:5">
      <c r="D59" s="32"/>
      <c r="E59" s="32"/>
    </row>
    <row r="60" spans="4:5">
      <c r="D60" s="32"/>
      <c r="E60" s="32"/>
    </row>
    <row r="61" spans="4:5">
      <c r="D61" s="32"/>
      <c r="E61" s="32"/>
    </row>
    <row r="62" spans="4:5">
      <c r="D62" s="32"/>
      <c r="E62" s="32"/>
    </row>
    <row r="63" spans="4:5">
      <c r="D63" s="32"/>
      <c r="E63" s="32"/>
    </row>
    <row r="64" spans="4:5">
      <c r="D64" s="32"/>
      <c r="E64" s="32"/>
    </row>
    <row r="65" spans="4:5">
      <c r="D65" s="32"/>
      <c r="E65" s="32"/>
    </row>
    <row r="66" spans="4:5">
      <c r="D66" s="32"/>
      <c r="E66" s="32"/>
    </row>
    <row r="67" spans="4:5">
      <c r="D67" s="32"/>
      <c r="E67" s="32"/>
    </row>
    <row r="68" spans="4:5">
      <c r="D68" s="32"/>
      <c r="E68" s="32"/>
    </row>
    <row r="69" spans="4:5">
      <c r="D69" s="32"/>
      <c r="E69" s="32"/>
    </row>
    <row r="70" spans="4:5">
      <c r="D70" s="32"/>
      <c r="E70" s="32"/>
    </row>
    <row r="71" spans="4:5">
      <c r="D71" s="32"/>
      <c r="E71" s="32"/>
    </row>
    <row r="72" spans="4:5">
      <c r="D72" s="32"/>
      <c r="E72" s="32"/>
    </row>
    <row r="73" spans="4:5">
      <c r="D73" s="32"/>
      <c r="E73" s="32"/>
    </row>
    <row r="74" spans="4:5">
      <c r="D74" s="32"/>
      <c r="E74" s="32"/>
    </row>
    <row r="75" spans="4:5">
      <c r="D75" s="32"/>
      <c r="E75" s="32"/>
    </row>
    <row r="76" spans="4:5">
      <c r="D76" s="32"/>
      <c r="E76" s="32"/>
    </row>
    <row r="77" spans="4:5">
      <c r="D77" s="32"/>
      <c r="E77" s="32"/>
    </row>
    <row r="78" spans="4:5">
      <c r="D78" s="32"/>
      <c r="E78" s="32"/>
    </row>
    <row r="79" spans="4:5">
      <c r="D79" s="32"/>
      <c r="E79" s="32"/>
    </row>
  </sheetData>
  <mergeCells count="1">
    <mergeCell ref="B1:E1"/>
  </mergeCells>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947" r:id="rId4" name="Button 3">
              <controlPr defaultSize="0" print="0" autoFill="0" autoPict="0" macro="[0]!手順書へ">
                <anchor moveWithCells="1" sizeWithCells="1">
                  <from>
                    <xdr:col>6</xdr:col>
                    <xdr:colOff>76200</xdr:colOff>
                    <xdr:row>0</xdr:row>
                    <xdr:rowOff>76200</xdr:rowOff>
                  </from>
                  <to>
                    <xdr:col>6</xdr:col>
                    <xdr:colOff>1171575</xdr:colOff>
                    <xdr:row>0</xdr:row>
                    <xdr:rowOff>323850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dimension ref="I1:AG74"/>
  <sheetViews>
    <sheetView topLeftCell="G1" zoomScale="110" zoomScaleNormal="70" workbookViewId="0"/>
  </sheetViews>
  <sheetFormatPr defaultColWidth="9.140625" defaultRowHeight="14.25"/>
  <cols>
    <col min="1" max="7" width="16.28515625" style="3" customWidth="1"/>
    <col min="8" max="8" width="11.140625" style="3" customWidth="1"/>
    <col min="9" max="9" width="10.28515625" style="3" customWidth="1"/>
    <col min="10" max="10" width="6" style="3" bestFit="1" customWidth="1"/>
    <col min="11" max="11" width="6.28515625" style="3" customWidth="1"/>
    <col min="12" max="12" width="2.28515625" style="35" customWidth="1"/>
    <col min="13" max="13" width="9.42578125" style="3" customWidth="1"/>
    <col min="14" max="14" width="5.140625" style="1" customWidth="1"/>
    <col min="15" max="15" width="17.5703125" style="1" customWidth="1"/>
    <col min="16" max="16" width="8.7109375" style="5" bestFit="1" customWidth="1"/>
    <col min="17" max="17" width="7.85546875" style="34" bestFit="1" customWidth="1"/>
    <col min="18" max="18" width="3.85546875" style="1" bestFit="1" customWidth="1"/>
    <col min="19" max="20" width="3.7109375" style="44" hidden="1" customWidth="1"/>
    <col min="21" max="21" width="4.7109375" style="44" hidden="1" customWidth="1"/>
    <col min="22" max="22" width="4.7109375" style="34" hidden="1" customWidth="1"/>
    <col min="23" max="23" width="4.7109375" style="3" hidden="1" customWidth="1"/>
    <col min="24" max="25" width="3.7109375" style="3" hidden="1" customWidth="1"/>
    <col min="26" max="27" width="4.7109375" style="3" hidden="1" customWidth="1"/>
    <col min="28" max="28" width="7.85546875" style="5" bestFit="1" customWidth="1"/>
    <col min="29" max="29" width="8.7109375" style="5" bestFit="1" customWidth="1"/>
    <col min="30" max="31" width="7.85546875" style="5" bestFit="1" customWidth="1"/>
    <col min="32" max="32" width="7" style="34" bestFit="1" customWidth="1"/>
    <col min="33" max="33" width="6.42578125" style="34" bestFit="1" customWidth="1"/>
    <col min="34" max="16384" width="9.140625" style="3"/>
  </cols>
  <sheetData>
    <row r="1" spans="9:31" ht="13.5" customHeight="1">
      <c r="I1" s="150" t="s">
        <v>44</v>
      </c>
      <c r="J1" s="150"/>
      <c r="K1" s="150"/>
      <c r="L1" s="150"/>
      <c r="M1" s="150"/>
      <c r="N1" s="150"/>
      <c r="O1" s="150"/>
      <c r="P1" s="71"/>
      <c r="Q1" s="72"/>
      <c r="R1" s="73"/>
      <c r="S1" s="74"/>
      <c r="T1" s="74"/>
      <c r="U1" s="74"/>
      <c r="V1" s="75"/>
      <c r="W1" s="69"/>
      <c r="X1" s="69">
        <f>MAX(X5:X200)</f>
        <v>7</v>
      </c>
      <c r="Y1" s="69">
        <f>MAX(Y5:Y200)</f>
        <v>7</v>
      </c>
      <c r="Z1" s="69"/>
      <c r="AA1" s="69"/>
      <c r="AB1" s="76"/>
      <c r="AC1" s="76"/>
      <c r="AD1" s="76"/>
      <c r="AE1" s="76"/>
    </row>
    <row r="2" spans="9:31" ht="13.5" customHeight="1">
      <c r="I2" s="150"/>
      <c r="J2" s="150"/>
      <c r="K2" s="150"/>
      <c r="L2" s="150"/>
      <c r="M2" s="150"/>
      <c r="N2" s="150"/>
      <c r="O2" s="150"/>
      <c r="P2" s="71"/>
      <c r="Q2" s="72"/>
      <c r="R2" s="73"/>
      <c r="S2" s="74"/>
      <c r="T2" s="74"/>
      <c r="U2" s="74"/>
      <c r="V2" s="75"/>
      <c r="W2" s="69"/>
      <c r="X2" s="69"/>
      <c r="Y2" s="69"/>
      <c r="Z2" s="69"/>
      <c r="AA2" s="69"/>
      <c r="AB2" s="76"/>
      <c r="AC2" s="76"/>
      <c r="AD2" s="76"/>
      <c r="AE2" s="76"/>
    </row>
    <row r="3" spans="9:31">
      <c r="I3" s="36"/>
      <c r="J3" s="37"/>
      <c r="K3" s="38"/>
      <c r="L3" s="36"/>
      <c r="M3" s="36"/>
      <c r="P3" s="5" t="s">
        <v>82</v>
      </c>
      <c r="Q3" s="5" t="s">
        <v>83</v>
      </c>
      <c r="AB3" s="5" t="s">
        <v>82</v>
      </c>
      <c r="AC3" s="5" t="s">
        <v>83</v>
      </c>
      <c r="AD3" s="5">
        <f>MAX(AB5:AB206)-MIN(AB5:AB206)+0.03</f>
        <v>1.9468372651349171</v>
      </c>
      <c r="AE3" s="5">
        <f>MAX(AC5:AC206)-MIN(AC5:AC206)+0.03</f>
        <v>1.9801076876303763</v>
      </c>
    </row>
    <row r="4" spans="9:31">
      <c r="I4" s="36"/>
      <c r="J4" s="36"/>
      <c r="K4" s="38"/>
      <c r="L4" s="36"/>
      <c r="M4" s="36"/>
      <c r="N4" s="1" t="s">
        <v>2</v>
      </c>
      <c r="O4" s="1" t="s">
        <v>43</v>
      </c>
      <c r="P4" s="5" t="s">
        <v>46</v>
      </c>
      <c r="Q4" s="5" t="s">
        <v>47</v>
      </c>
      <c r="R4" s="1" t="s">
        <v>16</v>
      </c>
      <c r="S4" s="44" t="s">
        <v>17</v>
      </c>
      <c r="T4" s="44" t="s">
        <v>18</v>
      </c>
      <c r="U4" s="44" t="s">
        <v>19</v>
      </c>
      <c r="V4" s="34" t="s">
        <v>20</v>
      </c>
      <c r="W4" s="3" t="s">
        <v>21</v>
      </c>
      <c r="X4" s="3" t="s">
        <v>22</v>
      </c>
      <c r="Y4" s="3" t="s">
        <v>23</v>
      </c>
      <c r="Z4" s="3" t="s">
        <v>24</v>
      </c>
      <c r="AA4" s="3" t="s">
        <v>25</v>
      </c>
      <c r="AB4" s="5" t="s">
        <v>26</v>
      </c>
      <c r="AC4" s="5" t="s">
        <v>27</v>
      </c>
      <c r="AD4" s="5">
        <f>MIN(AB5:AB206)</f>
        <v>-0.99</v>
      </c>
      <c r="AE4" s="5">
        <f>MIN(AC5:AC206)</f>
        <v>-0.99</v>
      </c>
    </row>
    <row r="5" spans="9:31">
      <c r="I5" s="36"/>
      <c r="J5" s="36"/>
      <c r="K5" s="38"/>
      <c r="L5" s="36"/>
      <c r="M5" s="36"/>
      <c r="N5" s="77">
        <v>1</v>
      </c>
      <c r="O5" s="78" t="s">
        <v>148</v>
      </c>
      <c r="P5" s="5">
        <v>-0.9870122156260589</v>
      </c>
      <c r="Q5" s="5">
        <v>0.18480335860674213</v>
      </c>
      <c r="R5" s="1">
        <f>IF(OR(Z5=1,AA5=1),1,0)</f>
        <v>1</v>
      </c>
      <c r="X5" s="3">
        <f>RANK(P5,$P$5:$P$212)</f>
        <v>6</v>
      </c>
      <c r="Y5" s="3">
        <f>RANK(Q5,$Q$5:$Q$212)</f>
        <v>4</v>
      </c>
      <c r="Z5" s="3">
        <f>IF(OR(X5&lt;11,($X$1-X5+1)&lt;11),1,"")</f>
        <v>1</v>
      </c>
      <c r="AA5" s="3">
        <f>IF(OR(Y5&lt;11,($Y$1-Y5+1)&lt;11),1,"")</f>
        <v>1</v>
      </c>
      <c r="AB5" s="5">
        <f>(P5*COS(RADIANS($K$6))-Q5*SIN(RADIANS($K$6)))/COS(RADIANS($K$6+$K$9))</f>
        <v>-0.9870122156260589</v>
      </c>
      <c r="AC5" s="5">
        <f>(Q5*COS(RADIANS($K$9))-P5*SIN(RADIANS($K$9)))/COS(RADIANS($K$6+$K$9))</f>
        <v>0.18480335860674213</v>
      </c>
      <c r="AD5" s="5">
        <f>(AB5-AD$4)/AD$3*2-1+0.01</f>
        <v>-0.98693062750806337</v>
      </c>
      <c r="AE5" s="5">
        <f>(AC5-AE$4)/AE$3*2-1+0.01</f>
        <v>0.19660552246291862</v>
      </c>
    </row>
    <row r="6" spans="9:31">
      <c r="I6" s="36"/>
      <c r="J6" s="39" t="s">
        <v>13</v>
      </c>
      <c r="K6" s="40">
        <v>0</v>
      </c>
      <c r="L6" s="39" t="s">
        <v>15</v>
      </c>
      <c r="M6" s="41"/>
      <c r="N6" s="4">
        <v>2</v>
      </c>
      <c r="O6" s="78" t="s">
        <v>149</v>
      </c>
      <c r="P6" s="5">
        <v>-0.99</v>
      </c>
      <c r="Q6" s="5">
        <v>-0.28471276840760151</v>
      </c>
      <c r="R6" s="1">
        <f t="shared" ref="R6:R11" si="0">IF(OR(Z6=1,AA6=1),1,0)</f>
        <v>1</v>
      </c>
      <c r="X6" s="3">
        <f t="shared" ref="X6:X11" si="1">RANK(P6,$P$5:$P$212)</f>
        <v>7</v>
      </c>
      <c r="Y6" s="3">
        <f t="shared" ref="Y6:Y11" si="2">RANK(Q6,$Q$5:$Q$212)</f>
        <v>5</v>
      </c>
      <c r="Z6" s="3">
        <f t="shared" ref="Z6:Z11" si="3">IF(OR(X6&lt;11,($X$1-X6+1)&lt;11),1,"")</f>
        <v>1</v>
      </c>
      <c r="AA6" s="3">
        <f t="shared" ref="AA6:AA11" si="4">IF(OR(Y6&lt;11,($Y$1-Y6+1)&lt;11),1,"")</f>
        <v>1</v>
      </c>
      <c r="AB6" s="5">
        <f t="shared" ref="AB6:AB11" si="5">(P6*COS(RADIANS($K$6))-Q6*SIN(RADIANS($K$6)))/COS(RADIANS($K$6+$K$9))</f>
        <v>-0.99</v>
      </c>
      <c r="AC6" s="5">
        <f t="shared" ref="AC6:AC11" si="6">(Q6*COS(RADIANS($K$9))-P6*SIN(RADIANS($K$9)))/COS(RADIANS($K$6+$K$9))</f>
        <v>-0.28471276840760151</v>
      </c>
      <c r="AD6" s="5">
        <f t="shared" ref="AD6:AD11" si="7">(AB6-AD$4)/AD$3*2-1+0.01</f>
        <v>-0.99</v>
      </c>
      <c r="AE6" s="5">
        <f t="shared" ref="AE6:AE11" si="8">(AC6-AE$4)/AE$3*2-1+0.01</f>
        <v>-0.27762739925884938</v>
      </c>
    </row>
    <row r="7" spans="9:31">
      <c r="I7" s="36"/>
      <c r="J7" s="39"/>
      <c r="K7" s="38"/>
      <c r="L7" s="39"/>
      <c r="M7" s="41"/>
      <c r="N7" s="77">
        <v>3</v>
      </c>
      <c r="O7" s="78" t="s">
        <v>150</v>
      </c>
      <c r="P7" s="5">
        <v>-0.40841455656602876</v>
      </c>
      <c r="Q7" s="5">
        <v>0.48040565308334782</v>
      </c>
      <c r="R7" s="1">
        <f t="shared" si="0"/>
        <v>1</v>
      </c>
      <c r="X7" s="3">
        <f t="shared" si="1"/>
        <v>4</v>
      </c>
      <c r="Y7" s="3">
        <f t="shared" si="2"/>
        <v>3</v>
      </c>
      <c r="Z7" s="3">
        <f t="shared" si="3"/>
        <v>1</v>
      </c>
      <c r="AA7" s="3">
        <f t="shared" si="4"/>
        <v>1</v>
      </c>
      <c r="AB7" s="5">
        <f t="shared" si="5"/>
        <v>-0.40841455656602876</v>
      </c>
      <c r="AC7" s="5">
        <f t="shared" si="6"/>
        <v>0.48040565308334782</v>
      </c>
      <c r="AD7" s="5">
        <f t="shared" si="7"/>
        <v>-0.39253306853188163</v>
      </c>
      <c r="AE7" s="5">
        <f t="shared" si="8"/>
        <v>0.49517746006329966</v>
      </c>
    </row>
    <row r="8" spans="9:31" ht="12">
      <c r="I8" s="41"/>
      <c r="J8" s="41"/>
      <c r="K8" s="41"/>
      <c r="L8" s="41"/>
      <c r="M8" s="41"/>
      <c r="N8" s="77">
        <v>4</v>
      </c>
      <c r="O8" s="78" t="s">
        <v>151</v>
      </c>
      <c r="P8" s="5">
        <v>-0.53157839440892862</v>
      </c>
      <c r="Q8" s="5">
        <v>-0.84286732758990746</v>
      </c>
      <c r="R8" s="1">
        <f t="shared" si="0"/>
        <v>1</v>
      </c>
      <c r="X8" s="3">
        <f t="shared" si="1"/>
        <v>5</v>
      </c>
      <c r="Y8" s="3">
        <f t="shared" si="2"/>
        <v>6</v>
      </c>
      <c r="Z8" s="3">
        <f t="shared" si="3"/>
        <v>1</v>
      </c>
      <c r="AA8" s="3">
        <f t="shared" si="4"/>
        <v>1</v>
      </c>
      <c r="AB8" s="5">
        <f t="shared" si="5"/>
        <v>-0.53157839440892862</v>
      </c>
      <c r="AC8" s="5">
        <f t="shared" si="6"/>
        <v>-0.84286732758990746</v>
      </c>
      <c r="AD8" s="5">
        <f t="shared" si="7"/>
        <v>-0.51906016974222813</v>
      </c>
      <c r="AE8" s="5">
        <f t="shared" si="8"/>
        <v>-0.8413892215769655</v>
      </c>
    </row>
    <row r="9" spans="9:31">
      <c r="I9" s="41"/>
      <c r="J9" s="42" t="s">
        <v>14</v>
      </c>
      <c r="K9" s="43">
        <v>0</v>
      </c>
      <c r="L9" s="42" t="s">
        <v>15</v>
      </c>
      <c r="M9" s="41"/>
      <c r="N9" s="77">
        <v>5</v>
      </c>
      <c r="O9" s="78" t="s">
        <v>152</v>
      </c>
      <c r="P9" s="5">
        <v>-3.5192816002466272E-2</v>
      </c>
      <c r="Q9" s="5">
        <v>-0.99</v>
      </c>
      <c r="R9" s="1">
        <f t="shared" si="0"/>
        <v>1</v>
      </c>
      <c r="X9" s="3">
        <f t="shared" si="1"/>
        <v>3</v>
      </c>
      <c r="Y9" s="3">
        <f t="shared" si="2"/>
        <v>7</v>
      </c>
      <c r="Z9" s="3">
        <f t="shared" si="3"/>
        <v>1</v>
      </c>
      <c r="AA9" s="3">
        <f t="shared" si="4"/>
        <v>1</v>
      </c>
      <c r="AB9" s="5">
        <f t="shared" si="5"/>
        <v>-3.5192816002466272E-2</v>
      </c>
      <c r="AC9" s="5">
        <f t="shared" si="6"/>
        <v>-0.99</v>
      </c>
      <c r="AD9" s="5">
        <f t="shared" si="7"/>
        <v>-9.1196756947582534E-3</v>
      </c>
      <c r="AE9" s="5">
        <f t="shared" si="8"/>
        <v>-0.99</v>
      </c>
    </row>
    <row r="10" spans="9:31" ht="12">
      <c r="I10" s="41"/>
      <c r="J10" s="41"/>
      <c r="K10" s="41"/>
      <c r="L10" s="41"/>
      <c r="M10" s="41"/>
      <c r="N10" s="77">
        <v>6</v>
      </c>
      <c r="O10" s="78" t="s">
        <v>153</v>
      </c>
      <c r="P10" s="5">
        <v>0.92683726513491704</v>
      </c>
      <c r="Q10" s="5">
        <v>0.96010768763037624</v>
      </c>
      <c r="R10" s="1">
        <f t="shared" si="0"/>
        <v>1</v>
      </c>
      <c r="X10" s="3">
        <f t="shared" si="1"/>
        <v>1</v>
      </c>
      <c r="Y10" s="3">
        <f t="shared" si="2"/>
        <v>1</v>
      </c>
      <c r="Z10" s="3">
        <f t="shared" si="3"/>
        <v>1</v>
      </c>
      <c r="AA10" s="3">
        <f t="shared" si="4"/>
        <v>1</v>
      </c>
      <c r="AB10" s="5">
        <f t="shared" si="5"/>
        <v>0.92683726513491704</v>
      </c>
      <c r="AC10" s="5">
        <f t="shared" si="6"/>
        <v>0.96010768763037624</v>
      </c>
      <c r="AD10" s="5">
        <f t="shared" si="7"/>
        <v>0.97918078307082235</v>
      </c>
      <c r="AE10" s="5">
        <f t="shared" si="8"/>
        <v>0.97969861771921973</v>
      </c>
    </row>
    <row r="11" spans="9:31" ht="12">
      <c r="I11" s="41"/>
      <c r="J11" s="41"/>
      <c r="K11" s="41"/>
      <c r="L11" s="41"/>
      <c r="M11" s="41"/>
      <c r="N11" s="77">
        <v>7</v>
      </c>
      <c r="O11" s="78" t="s">
        <v>154</v>
      </c>
      <c r="P11" s="5">
        <v>-6.3860013105125988E-3</v>
      </c>
      <c r="Q11" s="5">
        <v>0.7099506386125809</v>
      </c>
      <c r="R11" s="1">
        <f t="shared" si="0"/>
        <v>1</v>
      </c>
      <c r="X11" s="3">
        <f t="shared" si="1"/>
        <v>2</v>
      </c>
      <c r="Y11" s="3">
        <f t="shared" si="2"/>
        <v>2</v>
      </c>
      <c r="Z11" s="3">
        <f t="shared" si="3"/>
        <v>1</v>
      </c>
      <c r="AA11" s="3">
        <f t="shared" si="4"/>
        <v>1</v>
      </c>
      <c r="AB11" s="5">
        <f t="shared" si="5"/>
        <v>-6.3860013105125988E-3</v>
      </c>
      <c r="AC11" s="5">
        <f t="shared" si="6"/>
        <v>0.7099506386125809</v>
      </c>
      <c r="AD11" s="5">
        <f t="shared" si="7"/>
        <v>2.0473773339573224E-2</v>
      </c>
      <c r="AE11" s="5">
        <f t="shared" si="8"/>
        <v>0.72702847196854892</v>
      </c>
    </row>
    <row r="12" spans="9:31">
      <c r="I12" s="69"/>
      <c r="J12" s="69"/>
      <c r="K12" s="70"/>
      <c r="L12" s="69"/>
      <c r="M12" s="69"/>
      <c r="N12" s="4"/>
      <c r="O12" s="79"/>
      <c r="Q12" s="5"/>
    </row>
    <row r="13" spans="9:31">
      <c r="I13" s="69"/>
      <c r="J13" s="69"/>
      <c r="K13" s="70"/>
      <c r="L13" s="69"/>
      <c r="M13" s="69"/>
      <c r="N13" s="4"/>
      <c r="O13" s="79"/>
      <c r="Q13" s="5"/>
    </row>
    <row r="14" spans="9:31">
      <c r="I14" s="69"/>
      <c r="J14" s="69"/>
      <c r="K14" s="70"/>
      <c r="L14" s="69"/>
      <c r="M14" s="69"/>
      <c r="N14" s="4"/>
      <c r="O14" s="79"/>
      <c r="Q14" s="5"/>
    </row>
    <row r="15" spans="9:31">
      <c r="I15" s="69"/>
      <c r="J15" s="69"/>
      <c r="K15" s="70"/>
      <c r="L15" s="69"/>
      <c r="M15" s="69"/>
      <c r="N15" s="4"/>
      <c r="O15" s="79"/>
      <c r="Q15" s="5"/>
    </row>
    <row r="16" spans="9:31">
      <c r="I16" s="69"/>
      <c r="J16" s="69"/>
      <c r="K16" s="70"/>
      <c r="L16" s="69"/>
      <c r="M16" s="69"/>
      <c r="N16" s="4"/>
      <c r="O16" s="79"/>
      <c r="Q16" s="5"/>
    </row>
    <row r="17" spans="9:32">
      <c r="I17" s="69"/>
      <c r="J17" s="69"/>
      <c r="K17" s="70"/>
      <c r="L17" s="69"/>
      <c r="M17" s="69"/>
      <c r="O17" s="79"/>
      <c r="Q17" s="5"/>
      <c r="AF17" s="5"/>
    </row>
    <row r="18" spans="9:32">
      <c r="I18" s="69"/>
      <c r="J18" s="69"/>
      <c r="K18" s="70"/>
      <c r="L18" s="69"/>
      <c r="M18" s="69"/>
      <c r="O18" s="79"/>
      <c r="Q18" s="5"/>
      <c r="AF18" s="5"/>
    </row>
    <row r="19" spans="9:32">
      <c r="I19" s="69"/>
      <c r="J19" s="69"/>
      <c r="K19" s="70"/>
      <c r="L19" s="69"/>
      <c r="M19" s="69"/>
      <c r="O19" s="82"/>
      <c r="Q19" s="5"/>
      <c r="AF19" s="5"/>
    </row>
    <row r="20" spans="9:32">
      <c r="I20" s="69"/>
      <c r="J20" s="69"/>
      <c r="K20" s="70"/>
      <c r="L20" s="69"/>
      <c r="M20" s="69"/>
      <c r="O20" s="82"/>
      <c r="Q20" s="5"/>
      <c r="AF20" s="5"/>
    </row>
    <row r="21" spans="9:32">
      <c r="I21" s="69"/>
      <c r="J21" s="69"/>
      <c r="K21" s="70"/>
      <c r="L21" s="69"/>
      <c r="M21" s="69"/>
      <c r="O21" s="82"/>
      <c r="Q21" s="5"/>
      <c r="AF21" s="5"/>
    </row>
    <row r="22" spans="9:32">
      <c r="I22" s="69"/>
      <c r="J22" s="69"/>
      <c r="K22" s="70"/>
      <c r="L22" s="69"/>
      <c r="M22" s="69"/>
      <c r="O22" s="82"/>
      <c r="Q22" s="5"/>
      <c r="AF22" s="5"/>
    </row>
    <row r="23" spans="9:32">
      <c r="I23" s="69"/>
      <c r="J23" s="70"/>
      <c r="K23" s="69"/>
      <c r="L23" s="69"/>
      <c r="M23" s="69"/>
      <c r="O23" s="82"/>
      <c r="Q23" s="5"/>
      <c r="AF23" s="5"/>
    </row>
    <row r="24" spans="9:32">
      <c r="I24" s="69"/>
      <c r="J24" s="70"/>
      <c r="K24" s="69"/>
      <c r="L24" s="69"/>
      <c r="M24" s="69"/>
      <c r="O24" s="82"/>
      <c r="Q24" s="5"/>
    </row>
    <row r="25" spans="9:32">
      <c r="I25" s="69"/>
      <c r="J25" s="70"/>
      <c r="K25" s="69"/>
      <c r="L25" s="69"/>
      <c r="M25" s="69"/>
      <c r="O25" s="82"/>
      <c r="Q25" s="5"/>
    </row>
    <row r="26" spans="9:32">
      <c r="I26" s="69"/>
      <c r="J26" s="70"/>
      <c r="K26" s="69"/>
      <c r="L26" s="69"/>
      <c r="M26" s="69"/>
      <c r="O26" s="82"/>
      <c r="Q26" s="5"/>
    </row>
    <row r="27" spans="9:32">
      <c r="I27" s="69"/>
      <c r="J27" s="70"/>
      <c r="K27" s="69"/>
      <c r="L27" s="69"/>
      <c r="M27" s="69"/>
      <c r="O27" s="82"/>
      <c r="Q27" s="5"/>
    </row>
    <row r="28" spans="9:32">
      <c r="I28" s="69"/>
      <c r="J28" s="70"/>
      <c r="K28" s="69"/>
      <c r="L28" s="69"/>
      <c r="M28" s="69"/>
      <c r="O28" s="82"/>
      <c r="Q28" s="5"/>
    </row>
    <row r="29" spans="9:32">
      <c r="I29" s="69"/>
      <c r="J29" s="70"/>
      <c r="K29" s="69"/>
      <c r="L29" s="69"/>
      <c r="M29" s="69"/>
      <c r="O29" s="82"/>
      <c r="Q29" s="5"/>
    </row>
    <row r="30" spans="9:32">
      <c r="I30" s="69"/>
      <c r="J30" s="70"/>
      <c r="K30" s="69"/>
      <c r="L30" s="69"/>
      <c r="M30" s="69"/>
      <c r="Q30" s="45"/>
      <c r="R30" s="46"/>
    </row>
    <row r="31" spans="9:32">
      <c r="I31" s="69"/>
      <c r="J31" s="70"/>
      <c r="K31" s="69"/>
      <c r="L31" s="69"/>
      <c r="M31" s="69"/>
      <c r="Q31" s="45"/>
      <c r="R31" s="46"/>
    </row>
    <row r="32" spans="9:32">
      <c r="I32" s="69"/>
      <c r="J32" s="70"/>
      <c r="K32" s="69"/>
      <c r="L32" s="69"/>
      <c r="M32" s="69"/>
      <c r="Q32" s="45"/>
      <c r="R32" s="46"/>
    </row>
    <row r="33" spans="9:22">
      <c r="I33" s="69"/>
      <c r="J33" s="70"/>
      <c r="K33" s="69"/>
      <c r="L33" s="69"/>
      <c r="M33" s="69"/>
      <c r="Q33" s="45"/>
      <c r="R33" s="46"/>
    </row>
    <row r="34" spans="9:22">
      <c r="I34" s="69"/>
      <c r="J34" s="70"/>
      <c r="K34" s="69"/>
      <c r="L34" s="69"/>
      <c r="M34" s="69"/>
      <c r="P34" s="45"/>
      <c r="Q34" s="5"/>
      <c r="R34" s="46"/>
    </row>
    <row r="35" spans="9:22">
      <c r="I35" s="69"/>
      <c r="J35" s="70"/>
      <c r="K35" s="69"/>
      <c r="L35" s="69"/>
      <c r="M35" s="69"/>
      <c r="P35" s="45"/>
      <c r="Q35" s="5"/>
      <c r="R35" s="46"/>
    </row>
    <row r="36" spans="9:22">
      <c r="I36" s="69"/>
      <c r="J36" s="70"/>
      <c r="K36" s="69"/>
      <c r="L36" s="69"/>
      <c r="M36" s="69"/>
      <c r="Q36" s="5"/>
      <c r="R36" s="46"/>
    </row>
    <row r="37" spans="9:22">
      <c r="I37" s="69"/>
      <c r="J37" s="70"/>
      <c r="K37" s="69"/>
      <c r="L37" s="69"/>
      <c r="M37" s="69"/>
      <c r="Q37" s="5"/>
      <c r="R37" s="46"/>
    </row>
    <row r="38" spans="9:22">
      <c r="I38" s="69"/>
      <c r="J38" s="70"/>
      <c r="K38" s="69"/>
      <c r="L38" s="69"/>
      <c r="M38" s="69"/>
      <c r="P38" s="45"/>
      <c r="Q38" s="5"/>
      <c r="R38" s="46"/>
    </row>
    <row r="39" spans="9:22">
      <c r="I39" s="69"/>
      <c r="J39" s="70"/>
      <c r="K39" s="69"/>
      <c r="L39" s="69"/>
      <c r="M39" s="69"/>
      <c r="P39" s="45"/>
      <c r="Q39" s="5"/>
      <c r="R39" s="46"/>
    </row>
    <row r="40" spans="9:22">
      <c r="I40" s="69"/>
      <c r="J40" s="70"/>
      <c r="K40" s="69"/>
      <c r="L40" s="69"/>
      <c r="M40" s="69"/>
      <c r="Q40" s="5"/>
      <c r="R40" s="46"/>
    </row>
    <row r="41" spans="9:22">
      <c r="I41" s="69"/>
      <c r="J41" s="70"/>
      <c r="K41" s="69"/>
      <c r="L41" s="69"/>
      <c r="M41" s="69"/>
      <c r="Q41" s="5"/>
      <c r="V41" s="3"/>
    </row>
    <row r="42" spans="9:22">
      <c r="I42" s="69"/>
      <c r="J42" s="70"/>
      <c r="K42" s="69"/>
      <c r="L42" s="69"/>
      <c r="M42" s="69"/>
      <c r="Q42" s="5"/>
      <c r="V42" s="3"/>
    </row>
    <row r="43" spans="9:22">
      <c r="I43" s="69"/>
      <c r="J43" s="70"/>
      <c r="K43" s="69"/>
      <c r="L43" s="69"/>
      <c r="M43" s="69"/>
      <c r="Q43" s="5"/>
      <c r="V43" s="3"/>
    </row>
    <row r="44" spans="9:22">
      <c r="Q44" s="5"/>
    </row>
    <row r="45" spans="9:22">
      <c r="Q45" s="5"/>
    </row>
    <row r="46" spans="9:22">
      <c r="Q46" s="5"/>
    </row>
    <row r="47" spans="9:22">
      <c r="Q47" s="5"/>
    </row>
    <row r="48" spans="9:22">
      <c r="Q48" s="5"/>
    </row>
    <row r="49" spans="17:17">
      <c r="Q49" s="5"/>
    </row>
    <row r="50" spans="17:17">
      <c r="Q50" s="5"/>
    </row>
    <row r="51" spans="17:17">
      <c r="Q51" s="5"/>
    </row>
    <row r="52" spans="17:17">
      <c r="Q52" s="5"/>
    </row>
    <row r="53" spans="17:17">
      <c r="Q53" s="5"/>
    </row>
    <row r="54" spans="17:17">
      <c r="Q54" s="5"/>
    </row>
    <row r="55" spans="17:17">
      <c r="Q55" s="5"/>
    </row>
    <row r="56" spans="17:17">
      <c r="Q56" s="5"/>
    </row>
    <row r="57" spans="17:17">
      <c r="Q57" s="5"/>
    </row>
    <row r="58" spans="17:17">
      <c r="Q58" s="5"/>
    </row>
    <row r="59" spans="17:17">
      <c r="Q59" s="5"/>
    </row>
    <row r="60" spans="17:17">
      <c r="Q60" s="5"/>
    </row>
    <row r="61" spans="17:17">
      <c r="Q61" s="5"/>
    </row>
    <row r="62" spans="17:17">
      <c r="Q62" s="5"/>
    </row>
    <row r="63" spans="17:17">
      <c r="Q63" s="5"/>
    </row>
    <row r="64" spans="17:17">
      <c r="Q64" s="5"/>
    </row>
    <row r="65" spans="17:17">
      <c r="Q65" s="5"/>
    </row>
    <row r="66" spans="17:17">
      <c r="Q66" s="5"/>
    </row>
    <row r="67" spans="17:17">
      <c r="Q67" s="5"/>
    </row>
    <row r="68" spans="17:17">
      <c r="Q68" s="5"/>
    </row>
    <row r="69" spans="17:17">
      <c r="Q69" s="5"/>
    </row>
    <row r="70" spans="17:17">
      <c r="Q70" s="5"/>
    </row>
    <row r="71" spans="17:17">
      <c r="Q71" s="5"/>
    </row>
    <row r="72" spans="17:17">
      <c r="Q72" s="5"/>
    </row>
    <row r="73" spans="17:17">
      <c r="Q73" s="5"/>
    </row>
    <row r="74" spans="17:17">
      <c r="Q74" s="5"/>
    </row>
  </sheetData>
  <mergeCells count="1">
    <mergeCell ref="I1:O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19" r:id="rId3" name="Button 11">
              <controlPr defaultSize="0" print="0" autoFill="0" autoPict="0" macro="[0]!Ryminus">
                <anchor moveWithCells="1">
                  <from>
                    <xdr:col>9</xdr:col>
                    <xdr:colOff>133350</xdr:colOff>
                    <xdr:row>2</xdr:row>
                    <xdr:rowOff>95250</xdr:rowOff>
                  </from>
                  <to>
                    <xdr:col>10</xdr:col>
                    <xdr:colOff>400050</xdr:colOff>
                    <xdr:row>4</xdr:row>
                    <xdr:rowOff>114300</xdr:rowOff>
                  </to>
                </anchor>
              </controlPr>
            </control>
          </mc:Choice>
        </mc:AlternateContent>
        <mc:AlternateContent xmlns:mc="http://schemas.openxmlformats.org/markup-compatibility/2006">
          <mc:Choice Requires="x14">
            <control shapeId="119820" r:id="rId4" name="Button 12">
              <controlPr defaultSize="0" print="0" autoFill="0" autoPict="0" macro="[0]!Ryplus">
                <anchor moveWithCells="1">
                  <from>
                    <xdr:col>11</xdr:col>
                    <xdr:colOff>57150</xdr:colOff>
                    <xdr:row>2</xdr:row>
                    <xdr:rowOff>95250</xdr:rowOff>
                  </from>
                  <to>
                    <xdr:col>12</xdr:col>
                    <xdr:colOff>552450</xdr:colOff>
                    <xdr:row>4</xdr:row>
                    <xdr:rowOff>114300</xdr:rowOff>
                  </to>
                </anchor>
              </controlPr>
            </control>
          </mc:Choice>
        </mc:AlternateContent>
        <mc:AlternateContent xmlns:mc="http://schemas.openxmlformats.org/markup-compatibility/2006">
          <mc:Choice Requires="x14">
            <control shapeId="119821" r:id="rId5" name="Button 13">
              <controlPr defaultSize="0" print="0" autoFill="0" autoPict="0" macro="[0]!Rxminus">
                <anchor moveWithCells="1">
                  <from>
                    <xdr:col>12</xdr:col>
                    <xdr:colOff>95250</xdr:colOff>
                    <xdr:row>5</xdr:row>
                    <xdr:rowOff>28575</xdr:rowOff>
                  </from>
                  <to>
                    <xdr:col>12</xdr:col>
                    <xdr:colOff>552450</xdr:colOff>
                    <xdr:row>7</xdr:row>
                    <xdr:rowOff>104775</xdr:rowOff>
                  </to>
                </anchor>
              </controlPr>
            </control>
          </mc:Choice>
        </mc:AlternateContent>
        <mc:AlternateContent xmlns:mc="http://schemas.openxmlformats.org/markup-compatibility/2006">
          <mc:Choice Requires="x14">
            <control shapeId="119822" r:id="rId6" name="Button 14">
              <controlPr defaultSize="0" print="0" autoFill="0" autoPict="0" macro="[0]!Rxplus">
                <anchor moveWithCells="1">
                  <from>
                    <xdr:col>12</xdr:col>
                    <xdr:colOff>95250</xdr:colOff>
                    <xdr:row>7</xdr:row>
                    <xdr:rowOff>142875</xdr:rowOff>
                  </from>
                  <to>
                    <xdr:col>12</xdr:col>
                    <xdr:colOff>552450</xdr:colOff>
                    <xdr:row>10</xdr:row>
                    <xdr:rowOff>95250</xdr:rowOff>
                  </to>
                </anchor>
              </controlPr>
            </control>
          </mc:Choice>
        </mc:AlternateContent>
        <mc:AlternateContent xmlns:mc="http://schemas.openxmlformats.org/markup-compatibility/2006">
          <mc:Choice Requires="x14">
            <control shapeId="119823" r:id="rId7" name="Button 15">
              <controlPr defaultSize="0" print="0" autoFill="0" autoPict="0" macro="[0]!Roto回転したグラフ">
                <anchor moveWithCells="1" sizeWithCells="1">
                  <from>
                    <xdr:col>8</xdr:col>
                    <xdr:colOff>57150</xdr:colOff>
                    <xdr:row>14</xdr:row>
                    <xdr:rowOff>19050</xdr:rowOff>
                  </from>
                  <to>
                    <xdr:col>12</xdr:col>
                    <xdr:colOff>590550</xdr:colOff>
                    <xdr:row>16</xdr:row>
                    <xdr:rowOff>152400</xdr:rowOff>
                  </to>
                </anchor>
              </controlPr>
            </control>
          </mc:Choice>
        </mc:AlternateContent>
        <mc:AlternateContent xmlns:mc="http://schemas.openxmlformats.org/markup-compatibility/2006">
          <mc:Choice Requires="x14">
            <control shapeId="119825" r:id="rId8" name="Button 17">
              <controlPr defaultSize="0" print="0" autoFill="0" autoPict="0" macro="[0]!RotoXY初期値">
                <anchor moveWithCells="1" sizeWithCells="1">
                  <from>
                    <xdr:col>8</xdr:col>
                    <xdr:colOff>57150</xdr:colOff>
                    <xdr:row>11</xdr:row>
                    <xdr:rowOff>57150</xdr:rowOff>
                  </from>
                  <to>
                    <xdr:col>12</xdr:col>
                    <xdr:colOff>38100</xdr:colOff>
                    <xdr:row>13</xdr:row>
                    <xdr:rowOff>133350</xdr:rowOff>
                  </to>
                </anchor>
              </controlPr>
            </control>
          </mc:Choice>
        </mc:AlternateContent>
        <mc:AlternateContent xmlns:mc="http://schemas.openxmlformats.org/markup-compatibility/2006">
          <mc:Choice Requires="x14">
            <control shapeId="119826" r:id="rId9" name="Button 18">
              <controlPr defaultSize="0" print="0" autoFill="0" autoPict="0" macro="[0]!Roto初期グラフ">
                <anchor moveWithCells="1" sizeWithCells="1">
                  <from>
                    <xdr:col>8</xdr:col>
                    <xdr:colOff>57150</xdr:colOff>
                    <xdr:row>21</xdr:row>
                    <xdr:rowOff>28575</xdr:rowOff>
                  </from>
                  <to>
                    <xdr:col>12</xdr:col>
                    <xdr:colOff>590550</xdr:colOff>
                    <xdr:row>24</xdr:row>
                    <xdr:rowOff>171450</xdr:rowOff>
                  </to>
                </anchor>
              </controlPr>
            </control>
          </mc:Choice>
        </mc:AlternateContent>
        <mc:AlternateContent xmlns:mc="http://schemas.openxmlformats.org/markup-compatibility/2006">
          <mc:Choice Requires="x14">
            <control shapeId="119872" r:id="rId10" name="Button 64">
              <controlPr defaultSize="0" print="0" autoFill="0" autoPict="0" macro="[0]!Rotoグラフ回転後">
                <anchor moveWithCells="1" sizeWithCells="1">
                  <from>
                    <xdr:col>8</xdr:col>
                    <xdr:colOff>57150</xdr:colOff>
                    <xdr:row>17</xdr:row>
                    <xdr:rowOff>28575</xdr:rowOff>
                  </from>
                  <to>
                    <xdr:col>12</xdr:col>
                    <xdr:colOff>57150</xdr:colOff>
                    <xdr:row>20</xdr:row>
                    <xdr:rowOff>142875</xdr:rowOff>
                  </to>
                </anchor>
              </controlPr>
            </control>
          </mc:Choice>
        </mc:AlternateContent>
        <mc:AlternateContent xmlns:mc="http://schemas.openxmlformats.org/markup-compatibility/2006">
          <mc:Choice Requires="x14">
            <control shapeId="119873" r:id="rId11" name="Button 65">
              <controlPr defaultSize="0" print="0" autoFill="0" autoPict="0" macro="[0]!Rotocへ">
                <anchor moveWithCells="1" sizeWithCells="1">
                  <from>
                    <xdr:col>8</xdr:col>
                    <xdr:colOff>171450</xdr:colOff>
                    <xdr:row>28</xdr:row>
                    <xdr:rowOff>104775</xdr:rowOff>
                  </from>
                  <to>
                    <xdr:col>12</xdr:col>
                    <xdr:colOff>485775</xdr:colOff>
                    <xdr:row>30</xdr:row>
                    <xdr:rowOff>180975</xdr:rowOff>
                  </to>
                </anchor>
              </controlPr>
            </control>
          </mc:Choice>
        </mc:AlternateContent>
        <mc:AlternateContent xmlns:mc="http://schemas.openxmlformats.org/markup-compatibility/2006">
          <mc:Choice Requires="x14">
            <control shapeId="119874" r:id="rId12" name="Button 66">
              <controlPr defaultSize="0" print="0" autoFill="0" autoPict="0" macro="[0]!手順書へ">
                <anchor moveWithCells="1" sizeWithCells="1">
                  <from>
                    <xdr:col>8</xdr:col>
                    <xdr:colOff>171450</xdr:colOff>
                    <xdr:row>31</xdr:row>
                    <xdr:rowOff>38100</xdr:rowOff>
                  </from>
                  <to>
                    <xdr:col>12</xdr:col>
                    <xdr:colOff>514350</xdr:colOff>
                    <xdr:row>33</xdr:row>
                    <xdr:rowOff>95250</xdr:rowOff>
                  </to>
                </anchor>
              </controlPr>
            </control>
          </mc:Choice>
        </mc:AlternateContent>
        <mc:AlternateContent xmlns:mc="http://schemas.openxmlformats.org/markup-compatibility/2006">
          <mc:Choice Requires="x14">
            <control shapeId="119875" r:id="rId13" name="Button 67">
              <controlPr defaultSize="0" print="0" autoFill="0" autoPict="0" macro="[0]!X軸へ">
                <anchor moveWithCells="1" sizeWithCells="1">
                  <from>
                    <xdr:col>8</xdr:col>
                    <xdr:colOff>171450</xdr:colOff>
                    <xdr:row>26</xdr:row>
                    <xdr:rowOff>19050</xdr:rowOff>
                  </from>
                  <to>
                    <xdr:col>10</xdr:col>
                    <xdr:colOff>57150</xdr:colOff>
                    <xdr:row>28</xdr:row>
                    <xdr:rowOff>95250</xdr:rowOff>
                  </to>
                </anchor>
              </controlPr>
            </control>
          </mc:Choice>
        </mc:AlternateContent>
        <mc:AlternateContent xmlns:mc="http://schemas.openxmlformats.org/markup-compatibility/2006">
          <mc:Choice Requires="x14">
            <control shapeId="119876" r:id="rId14" name="Button 68">
              <controlPr defaultSize="0" print="0" autoFill="0" autoPict="0" macro="[0]!Y軸へ">
                <anchor moveWithCells="1" sizeWithCells="1">
                  <from>
                    <xdr:col>10</xdr:col>
                    <xdr:colOff>95250</xdr:colOff>
                    <xdr:row>26</xdr:row>
                    <xdr:rowOff>19050</xdr:rowOff>
                  </from>
                  <to>
                    <xdr:col>12</xdr:col>
                    <xdr:colOff>485775</xdr:colOff>
                    <xdr:row>28</xdr:row>
                    <xdr:rowOff>95250</xdr:rowOff>
                  </to>
                </anchor>
              </controlPr>
            </control>
          </mc:Choice>
        </mc:AlternateContent>
        <mc:AlternateContent xmlns:mc="http://schemas.openxmlformats.org/markup-compatibility/2006">
          <mc:Choice Requires="x14">
            <control shapeId="119877" r:id="rId15" name="Button 69">
              <controlPr defaultSize="0" print="0" autoFill="0" autoPict="0" macro="[0]!元データへ">
                <anchor moveWithCells="1">
                  <from>
                    <xdr:col>8</xdr:col>
                    <xdr:colOff>171450</xdr:colOff>
                    <xdr:row>33</xdr:row>
                    <xdr:rowOff>142875</xdr:rowOff>
                  </from>
                  <to>
                    <xdr:col>12</xdr:col>
                    <xdr:colOff>514350</xdr:colOff>
                    <xdr:row>35</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I1:AG104"/>
  <sheetViews>
    <sheetView zoomScale="90" zoomScaleNormal="70" workbookViewId="0">
      <selection activeCell="R23" sqref="R23"/>
    </sheetView>
  </sheetViews>
  <sheetFormatPr defaultColWidth="9.140625" defaultRowHeight="14.25"/>
  <cols>
    <col min="1" max="7" width="16.28515625" style="3" customWidth="1"/>
    <col min="8" max="8" width="11.140625" style="3" customWidth="1"/>
    <col min="9" max="9" width="10.28515625" style="3" customWidth="1"/>
    <col min="10" max="10" width="6" style="3" bestFit="1" customWidth="1"/>
    <col min="11" max="11" width="6.28515625" style="3" customWidth="1"/>
    <col min="12" max="12" width="2.28515625" style="35" customWidth="1"/>
    <col min="13" max="13" width="9.42578125" style="3" customWidth="1"/>
    <col min="14" max="14" width="5.140625" style="1" customWidth="1"/>
    <col min="15" max="15" width="21.140625" style="1" customWidth="1"/>
    <col min="16" max="16" width="8.7109375" style="5" bestFit="1" customWidth="1"/>
    <col min="17" max="17" width="8.7109375" style="34" bestFit="1" customWidth="1"/>
    <col min="18" max="18" width="3.85546875" style="1" bestFit="1" customWidth="1"/>
    <col min="19" max="20" width="3.7109375" style="44" hidden="1" customWidth="1"/>
    <col min="21" max="21" width="4.7109375" style="44" hidden="1" customWidth="1"/>
    <col min="22" max="22" width="4.7109375" style="34" hidden="1" customWidth="1"/>
    <col min="23" max="23" width="4.7109375" style="3" hidden="1" customWidth="1"/>
    <col min="24" max="25" width="3.7109375" style="3" hidden="1" customWidth="1"/>
    <col min="26" max="27" width="4.7109375" style="3" hidden="1" customWidth="1"/>
    <col min="28" max="28" width="8.28515625" style="5" bestFit="1" customWidth="1"/>
    <col min="29" max="29" width="8.7109375" style="5" bestFit="1" customWidth="1"/>
    <col min="30" max="31" width="8.28515625" style="5" bestFit="1" customWidth="1"/>
    <col min="32" max="32" width="7" style="34" bestFit="1" customWidth="1"/>
    <col min="33" max="33" width="6.42578125" style="34" bestFit="1" customWidth="1"/>
    <col min="34" max="16384" width="9.140625" style="3"/>
  </cols>
  <sheetData>
    <row r="1" spans="9:31" ht="13.5" customHeight="1">
      <c r="I1" s="151" t="s">
        <v>45</v>
      </c>
      <c r="J1" s="151"/>
      <c r="K1" s="151"/>
      <c r="L1" s="151"/>
      <c r="M1" s="151"/>
      <c r="N1" s="151"/>
      <c r="O1" s="151"/>
      <c r="P1" s="85"/>
      <c r="Q1" s="86"/>
      <c r="R1" s="87"/>
      <c r="S1" s="88"/>
      <c r="T1" s="88"/>
      <c r="U1" s="88"/>
      <c r="V1" s="89"/>
      <c r="W1" s="41"/>
      <c r="X1" s="41">
        <f>MAX(X5:X200)</f>
        <v>12</v>
      </c>
      <c r="Y1" s="41">
        <f>MAX(Y5:Y200)</f>
        <v>12</v>
      </c>
      <c r="Z1" s="41"/>
      <c r="AA1" s="41"/>
      <c r="AB1" s="90"/>
      <c r="AC1" s="90"/>
      <c r="AD1" s="90"/>
      <c r="AE1" s="90"/>
    </row>
    <row r="2" spans="9:31" ht="13.5" customHeight="1">
      <c r="I2" s="151"/>
      <c r="J2" s="151"/>
      <c r="K2" s="151"/>
      <c r="L2" s="151"/>
      <c r="M2" s="151"/>
      <c r="N2" s="151"/>
      <c r="O2" s="151"/>
      <c r="P2" s="85"/>
      <c r="Q2" s="86"/>
      <c r="R2" s="87"/>
      <c r="S2" s="88"/>
      <c r="T2" s="88"/>
      <c r="U2" s="88"/>
      <c r="V2" s="89"/>
      <c r="W2" s="41"/>
      <c r="X2" s="41"/>
      <c r="Y2" s="41"/>
      <c r="Z2" s="41"/>
      <c r="AA2" s="41"/>
      <c r="AB2" s="90"/>
      <c r="AC2" s="90"/>
      <c r="AD2" s="90"/>
      <c r="AE2" s="90"/>
    </row>
    <row r="3" spans="9:31">
      <c r="I3" s="95"/>
      <c r="J3" s="96"/>
      <c r="K3" s="97"/>
      <c r="L3" s="95"/>
      <c r="M3" s="95"/>
      <c r="P3" s="5" t="s">
        <v>82</v>
      </c>
      <c r="Q3" s="5" t="s">
        <v>83</v>
      </c>
      <c r="AB3" s="5" t="s">
        <v>82</v>
      </c>
      <c r="AC3" s="5" t="s">
        <v>83</v>
      </c>
      <c r="AD3" s="5">
        <f>MAX(AB5:AB206)-MIN(AB5:AB206)+0.03</f>
        <v>2.0225575109368457</v>
      </c>
      <c r="AE3" s="5">
        <f>MAX(AC5:AC206)-MIN(AC5:AC206)+0.03</f>
        <v>2.0152253288161006</v>
      </c>
    </row>
    <row r="4" spans="9:31">
      <c r="I4" s="95"/>
      <c r="J4" s="95"/>
      <c r="K4" s="97"/>
      <c r="L4" s="95"/>
      <c r="M4" s="95"/>
      <c r="N4" s="1" t="s">
        <v>2</v>
      </c>
      <c r="O4" s="1" t="s">
        <v>42</v>
      </c>
      <c r="P4" s="5" t="s">
        <v>46</v>
      </c>
      <c r="Q4" s="5" t="s">
        <v>47</v>
      </c>
      <c r="R4" s="1" t="s">
        <v>16</v>
      </c>
      <c r="S4" s="44" t="s">
        <v>17</v>
      </c>
      <c r="T4" s="44" t="s">
        <v>18</v>
      </c>
      <c r="U4" s="44" t="s">
        <v>19</v>
      </c>
      <c r="V4" s="34" t="s">
        <v>20</v>
      </c>
      <c r="W4" s="3" t="s">
        <v>21</v>
      </c>
      <c r="X4" s="3" t="s">
        <v>22</v>
      </c>
      <c r="Y4" s="3" t="s">
        <v>23</v>
      </c>
      <c r="Z4" s="3" t="s">
        <v>24</v>
      </c>
      <c r="AA4" s="3" t="s">
        <v>25</v>
      </c>
      <c r="AB4" s="5" t="s">
        <v>26</v>
      </c>
      <c r="AC4" s="5" t="s">
        <v>27</v>
      </c>
      <c r="AD4" s="5">
        <f>MIN(AB5:AB206)</f>
        <v>-0.99</v>
      </c>
      <c r="AE4" s="5">
        <f>MIN(AC5:AC206)</f>
        <v>-0.99</v>
      </c>
    </row>
    <row r="5" spans="9:31">
      <c r="I5" s="95"/>
      <c r="J5" s="95"/>
      <c r="K5" s="97"/>
      <c r="L5" s="95"/>
      <c r="M5" s="95"/>
      <c r="N5" s="1">
        <v>1</v>
      </c>
      <c r="O5" s="83" t="s">
        <v>155</v>
      </c>
      <c r="P5" s="5">
        <v>-0.87072376490145909</v>
      </c>
      <c r="Q5" s="5">
        <v>-0.27238711240647329</v>
      </c>
      <c r="R5" s="1">
        <f>IF(OR(Z5=1,AA5=1),1,0)</f>
        <v>1</v>
      </c>
      <c r="X5" s="3">
        <f>RANK(P5,$P$5:$P$212)</f>
        <v>11</v>
      </c>
      <c r="Y5" s="3">
        <f>RANK(Q5,$Q$5:$Q$212)</f>
        <v>9</v>
      </c>
      <c r="Z5" s="3">
        <f>IF(OR(X5&lt;11,($X$1-X5+1)&lt;11),1,"")</f>
        <v>1</v>
      </c>
      <c r="AA5" s="3">
        <f>IF(OR(Y5&lt;11,($Y$1-Y5+1)&lt;11),1,"")</f>
        <v>1</v>
      </c>
      <c r="AB5" s="5">
        <f>(P5*COS(RADIANS($K$6))-Q5*SIN(RADIANS($K$6)))/COS(RADIANS($K$6+$K$9))</f>
        <v>-0.87072376490145909</v>
      </c>
      <c r="AC5" s="5">
        <f>(Q5*COS(RADIANS($K$9))-P5*SIN(RADIANS($K$9)))/COS(RADIANS($K$6+$K$9))</f>
        <v>-0.27238711240647329</v>
      </c>
      <c r="AD5" s="5">
        <f>(AB5-AD$4)/AD$3*2-1+0.01</f>
        <v>-0.87205404844751011</v>
      </c>
      <c r="AE5" s="5">
        <f>(AC5-AE$4)/AE$3*2-1+0.01</f>
        <v>-0.27780878511971852</v>
      </c>
    </row>
    <row r="6" spans="9:31">
      <c r="I6" s="95"/>
      <c r="J6" s="98" t="s">
        <v>13</v>
      </c>
      <c r="K6" s="99">
        <v>0</v>
      </c>
      <c r="L6" s="98" t="s">
        <v>15</v>
      </c>
      <c r="M6" s="92"/>
      <c r="N6" s="1">
        <v>2</v>
      </c>
      <c r="O6" s="83" t="s">
        <v>156</v>
      </c>
      <c r="P6" s="5">
        <v>-0.99</v>
      </c>
      <c r="Q6" s="5">
        <v>9.5226693268221516E-2</v>
      </c>
      <c r="R6" s="1">
        <f t="shared" ref="R6:R16" si="0">IF(OR(Z6=1,AA6=1),1,0)</f>
        <v>1</v>
      </c>
      <c r="X6" s="3">
        <f t="shared" ref="X6:X16" si="1">RANK(P6,$P$5:$P$212)</f>
        <v>12</v>
      </c>
      <c r="Y6" s="3">
        <f t="shared" ref="Y6:Y16" si="2">RANK(Q6,$Q$5:$Q$212)</f>
        <v>7</v>
      </c>
      <c r="Z6" s="3">
        <f t="shared" ref="Z6:Z16" si="3">IF(OR(X6&lt;11,($X$1-X6+1)&lt;11),1,"")</f>
        <v>1</v>
      </c>
      <c r="AA6" s="3">
        <f t="shared" ref="AA6:AA16" si="4">IF(OR(Y6&lt;11,($Y$1-Y6+1)&lt;11),1,"")</f>
        <v>1</v>
      </c>
      <c r="AB6" s="5">
        <f t="shared" ref="AB6:AB16" si="5">(P6*COS(RADIANS($K$6))-Q6*SIN(RADIANS($K$6)))/COS(RADIANS($K$6+$K$9))</f>
        <v>-0.99</v>
      </c>
      <c r="AC6" s="5">
        <f t="shared" ref="AC6:AC16" si="6">(Q6*COS(RADIANS($K$9))-P6*SIN(RADIANS($K$9)))/COS(RADIANS($K$6+$K$9))</f>
        <v>9.5226693268221516E-2</v>
      </c>
      <c r="AD6" s="5">
        <f t="shared" ref="AD6:AD16" si="7">(AB6-AD$4)/AD$3*2-1+0.01</f>
        <v>-0.99</v>
      </c>
      <c r="AE6" s="5">
        <f t="shared" ref="AE6:AE16" si="8">(AC6-AE$4)/AE$3*2-1+0.01</f>
        <v>8.7027643261875495E-2</v>
      </c>
    </row>
    <row r="7" spans="9:31">
      <c r="I7" s="95"/>
      <c r="J7" s="98"/>
      <c r="K7" s="97"/>
      <c r="L7" s="98"/>
      <c r="M7" s="92"/>
      <c r="N7" s="1">
        <v>3</v>
      </c>
      <c r="O7" s="83" t="s">
        <v>157</v>
      </c>
      <c r="P7" s="5">
        <v>-0.47102105767948543</v>
      </c>
      <c r="Q7" s="5">
        <v>0.27093533987526897</v>
      </c>
      <c r="R7" s="1">
        <f t="shared" si="0"/>
        <v>1</v>
      </c>
      <c r="X7" s="3">
        <f t="shared" si="1"/>
        <v>10</v>
      </c>
      <c r="Y7" s="3">
        <f t="shared" si="2"/>
        <v>5</v>
      </c>
      <c r="Z7" s="3">
        <f t="shared" si="3"/>
        <v>1</v>
      </c>
      <c r="AA7" s="3">
        <f t="shared" si="4"/>
        <v>1</v>
      </c>
      <c r="AB7" s="5">
        <f t="shared" si="5"/>
        <v>-0.47102105767948543</v>
      </c>
      <c r="AC7" s="5">
        <f t="shared" si="6"/>
        <v>0.27093533987526897</v>
      </c>
      <c r="AD7" s="5">
        <f t="shared" si="7"/>
        <v>-0.47680921109617869</v>
      </c>
      <c r="AE7" s="5">
        <f t="shared" si="8"/>
        <v>0.26140878475960805</v>
      </c>
    </row>
    <row r="8" spans="9:31" ht="12">
      <c r="I8" s="92"/>
      <c r="J8" s="92"/>
      <c r="K8" s="92"/>
      <c r="L8" s="92"/>
      <c r="M8" s="92"/>
      <c r="N8" s="1">
        <v>4</v>
      </c>
      <c r="O8" s="83" t="s">
        <v>158</v>
      </c>
      <c r="P8" s="5">
        <v>-0.16176992582602456</v>
      </c>
      <c r="Q8" s="5">
        <v>0.73792606852191689</v>
      </c>
      <c r="R8" s="1">
        <f t="shared" si="0"/>
        <v>1</v>
      </c>
      <c r="X8" s="3">
        <f t="shared" si="1"/>
        <v>2</v>
      </c>
      <c r="Y8" s="3">
        <f t="shared" si="2"/>
        <v>2</v>
      </c>
      <c r="Z8" s="3">
        <f t="shared" si="3"/>
        <v>1</v>
      </c>
      <c r="AA8" s="3">
        <f t="shared" si="4"/>
        <v>1</v>
      </c>
      <c r="AB8" s="5">
        <f t="shared" si="5"/>
        <v>-0.16176992582602456</v>
      </c>
      <c r="AC8" s="5">
        <f t="shared" si="6"/>
        <v>0.73792606852191689</v>
      </c>
      <c r="AD8" s="5">
        <f t="shared" si="7"/>
        <v>-0.17100714595715949</v>
      </c>
      <c r="AE8" s="5">
        <f t="shared" si="8"/>
        <v>0.72487132859434089</v>
      </c>
    </row>
    <row r="9" spans="9:31">
      <c r="I9" s="92"/>
      <c r="J9" s="93" t="s">
        <v>14</v>
      </c>
      <c r="K9" s="94">
        <v>0</v>
      </c>
      <c r="L9" s="93" t="s">
        <v>15</v>
      </c>
      <c r="M9" s="92"/>
      <c r="N9" s="1">
        <v>5</v>
      </c>
      <c r="O9" s="83" t="s">
        <v>159</v>
      </c>
      <c r="P9" s="5">
        <v>-0.31791955700613539</v>
      </c>
      <c r="Q9" s="5">
        <v>0.25783118005606442</v>
      </c>
      <c r="R9" s="1">
        <f t="shared" si="0"/>
        <v>1</v>
      </c>
      <c r="X9" s="3">
        <f t="shared" si="1"/>
        <v>7</v>
      </c>
      <c r="Y9" s="3">
        <f t="shared" si="2"/>
        <v>6</v>
      </c>
      <c r="Z9" s="3">
        <f t="shared" si="3"/>
        <v>1</v>
      </c>
      <c r="AA9" s="3">
        <f t="shared" si="4"/>
        <v>1</v>
      </c>
      <c r="AB9" s="5">
        <f t="shared" si="5"/>
        <v>-0.31791955700613539</v>
      </c>
      <c r="AC9" s="5">
        <f t="shared" si="6"/>
        <v>0.25783118005606442</v>
      </c>
      <c r="AD9" s="5">
        <f t="shared" si="7"/>
        <v>-0.32541524593527338</v>
      </c>
      <c r="AE9" s="5">
        <f t="shared" si="8"/>
        <v>0.24840362882808442</v>
      </c>
    </row>
    <row r="10" spans="9:31" ht="12">
      <c r="I10" s="92"/>
      <c r="J10" s="92"/>
      <c r="K10" s="92"/>
      <c r="L10" s="92"/>
      <c r="M10" s="92"/>
      <c r="N10" s="1">
        <v>6</v>
      </c>
      <c r="O10" s="83" t="s">
        <v>160</v>
      </c>
      <c r="P10" s="5">
        <v>1.0025575109368459</v>
      </c>
      <c r="Q10" s="5">
        <v>-6.1702518453994666E-2</v>
      </c>
      <c r="R10" s="1">
        <f t="shared" si="0"/>
        <v>1</v>
      </c>
      <c r="X10" s="3">
        <f t="shared" si="1"/>
        <v>1</v>
      </c>
      <c r="Y10" s="3">
        <f t="shared" si="2"/>
        <v>8</v>
      </c>
      <c r="Z10" s="3">
        <f t="shared" si="3"/>
        <v>1</v>
      </c>
      <c r="AA10" s="3">
        <f t="shared" si="4"/>
        <v>1</v>
      </c>
      <c r="AB10" s="5">
        <f t="shared" si="5"/>
        <v>1.0025575109368459</v>
      </c>
      <c r="AC10" s="5">
        <f t="shared" si="6"/>
        <v>-6.1702518453994666E-2</v>
      </c>
      <c r="AD10" s="5">
        <f t="shared" si="7"/>
        <v>0.98033458891747038</v>
      </c>
      <c r="AE10" s="5">
        <f t="shared" si="8"/>
        <v>-6.8715944790790032E-2</v>
      </c>
    </row>
    <row r="11" spans="9:31" ht="12">
      <c r="I11" s="92"/>
      <c r="J11" s="92"/>
      <c r="K11" s="92"/>
      <c r="L11" s="92"/>
      <c r="M11" s="92"/>
      <c r="N11" s="1">
        <v>7</v>
      </c>
      <c r="O11" s="83" t="s">
        <v>161</v>
      </c>
      <c r="P11" s="5">
        <v>-0.44264644275942766</v>
      </c>
      <c r="Q11" s="5">
        <v>0.9952253288161006</v>
      </c>
      <c r="R11" s="1">
        <f t="shared" si="0"/>
        <v>1</v>
      </c>
      <c r="X11" s="3">
        <f t="shared" si="1"/>
        <v>9</v>
      </c>
      <c r="Y11" s="3">
        <f t="shared" si="2"/>
        <v>1</v>
      </c>
      <c r="Z11" s="3">
        <f t="shared" si="3"/>
        <v>1</v>
      </c>
      <c r="AA11" s="3">
        <f t="shared" si="4"/>
        <v>1</v>
      </c>
      <c r="AB11" s="5">
        <f t="shared" si="5"/>
        <v>-0.44264644275942766</v>
      </c>
      <c r="AC11" s="5">
        <f t="shared" si="6"/>
        <v>0.9952253288161006</v>
      </c>
      <c r="AD11" s="5">
        <f t="shared" si="7"/>
        <v>-0.44875105723244524</v>
      </c>
      <c r="AE11" s="5">
        <f t="shared" si="8"/>
        <v>0.98022665448769009</v>
      </c>
    </row>
    <row r="12" spans="9:31">
      <c r="I12" s="41"/>
      <c r="J12" s="41"/>
      <c r="K12" s="91"/>
      <c r="L12" s="41"/>
      <c r="M12" s="41"/>
      <c r="N12" s="1">
        <v>8</v>
      </c>
      <c r="O12" s="83" t="s">
        <v>162</v>
      </c>
      <c r="P12" s="5">
        <v>-0.17447339536142326</v>
      </c>
      <c r="Q12" s="5">
        <v>-0.70857345653846782</v>
      </c>
      <c r="R12" s="1">
        <f t="shared" si="0"/>
        <v>1</v>
      </c>
      <c r="X12" s="3">
        <f t="shared" si="1"/>
        <v>3</v>
      </c>
      <c r="Y12" s="3">
        <f t="shared" si="2"/>
        <v>11</v>
      </c>
      <c r="Z12" s="3">
        <f t="shared" si="3"/>
        <v>1</v>
      </c>
      <c r="AA12" s="3">
        <f t="shared" si="4"/>
        <v>1</v>
      </c>
      <c r="AB12" s="5">
        <f t="shared" si="5"/>
        <v>-0.17447339536142326</v>
      </c>
      <c r="AC12" s="5">
        <f t="shared" si="6"/>
        <v>-0.70857345653846782</v>
      </c>
      <c r="AD12" s="5">
        <f t="shared" si="7"/>
        <v>-0.18356893415522602</v>
      </c>
      <c r="AE12" s="5">
        <f t="shared" si="8"/>
        <v>-0.71069967617282392</v>
      </c>
    </row>
    <row r="13" spans="9:31">
      <c r="I13" s="41"/>
      <c r="J13" s="41"/>
      <c r="K13" s="91"/>
      <c r="L13" s="41"/>
      <c r="M13" s="41"/>
      <c r="N13" s="1">
        <v>9</v>
      </c>
      <c r="O13" s="83" t="s">
        <v>163</v>
      </c>
      <c r="P13" s="5">
        <v>-0.43447495989062979</v>
      </c>
      <c r="Q13" s="5">
        <v>-0.99</v>
      </c>
      <c r="R13" s="1">
        <f t="shared" si="0"/>
        <v>1</v>
      </c>
      <c r="X13" s="3">
        <f t="shared" si="1"/>
        <v>8</v>
      </c>
      <c r="Y13" s="3">
        <f t="shared" si="2"/>
        <v>12</v>
      </c>
      <c r="Z13" s="3">
        <f t="shared" si="3"/>
        <v>1</v>
      </c>
      <c r="AA13" s="3">
        <f t="shared" si="4"/>
        <v>1</v>
      </c>
      <c r="AB13" s="5">
        <f t="shared" si="5"/>
        <v>-0.43447495989062979</v>
      </c>
      <c r="AC13" s="5">
        <f t="shared" si="6"/>
        <v>-0.99</v>
      </c>
      <c r="AD13" s="5">
        <f t="shared" si="7"/>
        <v>-0.44067071061722063</v>
      </c>
      <c r="AE13" s="5">
        <f t="shared" si="8"/>
        <v>-0.99</v>
      </c>
    </row>
    <row r="14" spans="9:31">
      <c r="I14" s="41"/>
      <c r="J14" s="41"/>
      <c r="K14" s="91"/>
      <c r="L14" s="41"/>
      <c r="M14" s="41"/>
      <c r="N14" s="1">
        <v>10</v>
      </c>
      <c r="O14" s="83" t="s">
        <v>164</v>
      </c>
      <c r="P14" s="5">
        <v>-0.19669173760331427</v>
      </c>
      <c r="Q14" s="5">
        <v>0.51917376570315144</v>
      </c>
      <c r="R14" s="1">
        <f t="shared" si="0"/>
        <v>1</v>
      </c>
      <c r="X14" s="3">
        <f t="shared" si="1"/>
        <v>4</v>
      </c>
      <c r="Y14" s="3">
        <f t="shared" si="2"/>
        <v>3</v>
      </c>
      <c r="Z14" s="3">
        <f t="shared" si="3"/>
        <v>1</v>
      </c>
      <c r="AA14" s="3">
        <f t="shared" si="4"/>
        <v>1</v>
      </c>
      <c r="AB14" s="5">
        <f t="shared" si="5"/>
        <v>-0.19669173760331427</v>
      </c>
      <c r="AC14" s="5">
        <f t="shared" si="6"/>
        <v>0.51917376570315144</v>
      </c>
      <c r="AD14" s="5">
        <f t="shared" si="7"/>
        <v>-0.20553947602782729</v>
      </c>
      <c r="AE14" s="5">
        <f t="shared" si="8"/>
        <v>0.50777173214645632</v>
      </c>
    </row>
    <row r="15" spans="9:31">
      <c r="I15" s="41"/>
      <c r="J15" s="41"/>
      <c r="K15" s="91"/>
      <c r="L15" s="41"/>
      <c r="M15" s="41"/>
      <c r="N15" s="1">
        <v>11</v>
      </c>
      <c r="O15" s="83" t="s">
        <v>165</v>
      </c>
      <c r="P15" s="5">
        <v>-0.20020304409736422</v>
      </c>
      <c r="Q15" s="5">
        <v>-0.35599307119262424</v>
      </c>
      <c r="R15" s="1">
        <f t="shared" si="0"/>
        <v>1</v>
      </c>
      <c r="X15" s="3">
        <f t="shared" si="1"/>
        <v>5</v>
      </c>
      <c r="Y15" s="3">
        <f t="shared" si="2"/>
        <v>10</v>
      </c>
      <c r="Z15" s="3">
        <f t="shared" si="3"/>
        <v>1</v>
      </c>
      <c r="AA15" s="3">
        <f t="shared" si="4"/>
        <v>1</v>
      </c>
      <c r="AB15" s="5">
        <f t="shared" si="5"/>
        <v>-0.20020304409736422</v>
      </c>
      <c r="AC15" s="5">
        <f t="shared" si="6"/>
        <v>-0.35599307119262424</v>
      </c>
      <c r="AD15" s="5">
        <f t="shared" si="7"/>
        <v>-0.20901162104725224</v>
      </c>
      <c r="AE15" s="5">
        <f t="shared" si="8"/>
        <v>-0.36078308838065221</v>
      </c>
    </row>
    <row r="16" spans="9:31">
      <c r="I16" s="41"/>
      <c r="J16" s="41"/>
      <c r="K16" s="91"/>
      <c r="L16" s="41"/>
      <c r="M16" s="41"/>
      <c r="N16" s="1">
        <v>12</v>
      </c>
      <c r="O16" s="83" t="s">
        <v>166</v>
      </c>
      <c r="P16" s="5">
        <v>-0.22399152882836737</v>
      </c>
      <c r="Q16" s="5">
        <v>0.36395775016521048</v>
      </c>
      <c r="R16" s="1">
        <f t="shared" si="0"/>
        <v>1</v>
      </c>
      <c r="X16" s="3">
        <f t="shared" si="1"/>
        <v>6</v>
      </c>
      <c r="Y16" s="3">
        <f t="shared" si="2"/>
        <v>4</v>
      </c>
      <c r="Z16" s="3">
        <f t="shared" si="3"/>
        <v>1</v>
      </c>
      <c r="AA16" s="3">
        <f t="shared" si="4"/>
        <v>1</v>
      </c>
      <c r="AB16" s="5">
        <f t="shared" si="5"/>
        <v>-0.22399152882836737</v>
      </c>
      <c r="AC16" s="5">
        <f t="shared" si="6"/>
        <v>0.36395775016521048</v>
      </c>
      <c r="AD16" s="5">
        <f t="shared" si="7"/>
        <v>-0.23253479366644203</v>
      </c>
      <c r="AE16" s="5">
        <f t="shared" si="8"/>
        <v>0.35372839682461721</v>
      </c>
    </row>
    <row r="17" spans="9:32">
      <c r="I17" s="41"/>
      <c r="J17" s="41"/>
      <c r="K17" s="91"/>
      <c r="L17" s="41"/>
      <c r="M17" s="41"/>
      <c r="O17" s="83"/>
      <c r="Q17" s="5"/>
      <c r="AF17" s="5"/>
    </row>
    <row r="18" spans="9:32">
      <c r="I18" s="41"/>
      <c r="J18" s="41"/>
      <c r="K18" s="91"/>
      <c r="L18" s="41"/>
      <c r="M18" s="41"/>
      <c r="O18" s="83"/>
      <c r="Q18" s="5"/>
      <c r="AF18" s="5"/>
    </row>
    <row r="19" spans="9:32">
      <c r="I19" s="41"/>
      <c r="J19" s="41"/>
      <c r="K19" s="91"/>
      <c r="L19" s="41"/>
      <c r="M19" s="41"/>
      <c r="O19" s="83"/>
      <c r="Q19" s="5"/>
      <c r="AF19" s="5"/>
    </row>
    <row r="20" spans="9:32">
      <c r="I20" s="41"/>
      <c r="J20" s="41"/>
      <c r="K20" s="91"/>
      <c r="L20" s="41"/>
      <c r="M20" s="41"/>
      <c r="O20" s="83"/>
      <c r="Q20" s="5"/>
      <c r="AF20" s="5"/>
    </row>
    <row r="21" spans="9:32">
      <c r="I21" s="41"/>
      <c r="J21" s="41"/>
      <c r="K21" s="91"/>
      <c r="L21" s="41"/>
      <c r="M21" s="41"/>
      <c r="O21" s="83"/>
      <c r="Q21" s="5"/>
      <c r="AF21" s="5"/>
    </row>
    <row r="22" spans="9:32">
      <c r="I22" s="41"/>
      <c r="J22" s="41"/>
      <c r="K22" s="91"/>
      <c r="L22" s="41"/>
      <c r="M22" s="41"/>
      <c r="O22" s="83"/>
      <c r="Q22" s="5"/>
      <c r="AF22" s="5"/>
    </row>
    <row r="23" spans="9:32">
      <c r="I23" s="41"/>
      <c r="J23" s="91"/>
      <c r="K23" s="41"/>
      <c r="L23" s="41"/>
      <c r="M23" s="41"/>
      <c r="O23" s="83"/>
      <c r="Q23" s="5"/>
      <c r="AF23" s="5"/>
    </row>
    <row r="24" spans="9:32">
      <c r="I24" s="41"/>
      <c r="J24" s="91"/>
      <c r="K24" s="41"/>
      <c r="L24" s="41"/>
      <c r="M24" s="41"/>
      <c r="O24" s="83"/>
      <c r="Q24" s="5"/>
    </row>
    <row r="25" spans="9:32">
      <c r="I25" s="41"/>
      <c r="J25" s="91"/>
      <c r="K25" s="41"/>
      <c r="L25" s="41"/>
      <c r="M25" s="41"/>
      <c r="O25" s="83"/>
      <c r="Q25" s="5"/>
    </row>
    <row r="26" spans="9:32">
      <c r="I26" s="41"/>
      <c r="J26" s="91"/>
      <c r="K26" s="41"/>
      <c r="L26" s="41"/>
      <c r="M26" s="41"/>
      <c r="O26" s="83"/>
      <c r="Q26" s="5"/>
    </row>
    <row r="27" spans="9:32">
      <c r="I27" s="41"/>
      <c r="J27" s="91"/>
      <c r="K27" s="41"/>
      <c r="L27" s="41"/>
      <c r="M27" s="41"/>
      <c r="O27" s="83"/>
      <c r="Q27" s="5"/>
    </row>
    <row r="28" spans="9:32">
      <c r="I28" s="41"/>
      <c r="J28" s="91"/>
      <c r="K28" s="41"/>
      <c r="L28" s="41"/>
      <c r="M28" s="41"/>
      <c r="O28" s="83"/>
      <c r="Q28" s="5"/>
    </row>
    <row r="29" spans="9:32">
      <c r="I29" s="41"/>
      <c r="J29" s="91"/>
      <c r="K29" s="41"/>
      <c r="L29" s="41"/>
      <c r="M29" s="41"/>
      <c r="O29" s="83"/>
      <c r="Q29" s="5"/>
    </row>
    <row r="30" spans="9:32">
      <c r="I30" s="41"/>
      <c r="J30" s="91"/>
      <c r="K30" s="41"/>
      <c r="L30" s="41"/>
      <c r="M30" s="41"/>
      <c r="O30" s="83"/>
      <c r="Q30" s="5"/>
    </row>
    <row r="31" spans="9:32">
      <c r="I31" s="41"/>
      <c r="J31" s="91"/>
      <c r="K31" s="41"/>
      <c r="L31" s="41"/>
      <c r="M31" s="41"/>
      <c r="O31" s="83"/>
      <c r="Q31" s="5"/>
    </row>
    <row r="32" spans="9:32">
      <c r="I32" s="41"/>
      <c r="J32" s="91"/>
      <c r="K32" s="41"/>
      <c r="L32" s="41"/>
      <c r="M32" s="41"/>
      <c r="O32" s="83"/>
      <c r="Q32" s="5"/>
    </row>
    <row r="33" spans="9:17">
      <c r="I33" s="41"/>
      <c r="J33" s="91"/>
      <c r="K33" s="41"/>
      <c r="L33" s="41"/>
      <c r="M33" s="41"/>
      <c r="O33" s="83"/>
      <c r="Q33" s="5"/>
    </row>
    <row r="34" spans="9:17">
      <c r="I34" s="41"/>
      <c r="J34" s="91"/>
      <c r="K34" s="41"/>
      <c r="L34" s="41"/>
      <c r="M34" s="41"/>
      <c r="O34" s="83"/>
      <c r="Q34" s="5"/>
    </row>
    <row r="35" spans="9:17">
      <c r="I35" s="41"/>
      <c r="J35" s="91"/>
      <c r="K35" s="41"/>
      <c r="L35" s="41"/>
      <c r="M35" s="41"/>
      <c r="O35" s="83"/>
      <c r="Q35" s="5"/>
    </row>
    <row r="36" spans="9:17">
      <c r="I36" s="41"/>
      <c r="J36" s="91"/>
      <c r="K36" s="41"/>
      <c r="L36" s="41"/>
      <c r="M36" s="41"/>
      <c r="O36" s="83"/>
      <c r="Q36" s="5"/>
    </row>
    <row r="37" spans="9:17">
      <c r="I37" s="41"/>
      <c r="J37" s="91"/>
      <c r="K37" s="41"/>
      <c r="L37" s="41"/>
      <c r="M37" s="41"/>
      <c r="O37" s="83"/>
      <c r="Q37" s="5"/>
    </row>
    <row r="38" spans="9:17">
      <c r="I38" s="41"/>
      <c r="J38" s="91"/>
      <c r="K38" s="41"/>
      <c r="L38" s="41"/>
      <c r="M38" s="41"/>
      <c r="O38" s="83"/>
      <c r="Q38" s="5"/>
    </row>
    <row r="39" spans="9:17">
      <c r="I39" s="41"/>
      <c r="J39" s="91"/>
      <c r="K39" s="41"/>
      <c r="L39" s="41"/>
      <c r="M39" s="41"/>
      <c r="O39" s="83"/>
      <c r="Q39" s="5"/>
    </row>
    <row r="40" spans="9:17">
      <c r="I40" s="41"/>
      <c r="J40" s="91"/>
      <c r="K40" s="41"/>
      <c r="L40" s="41"/>
      <c r="M40" s="41"/>
      <c r="O40" s="83"/>
      <c r="Q40" s="5"/>
    </row>
    <row r="41" spans="9:17">
      <c r="I41" s="41"/>
      <c r="J41" s="91"/>
      <c r="K41" s="41"/>
      <c r="L41" s="41"/>
      <c r="M41" s="41"/>
      <c r="O41" s="83"/>
      <c r="Q41" s="5"/>
    </row>
    <row r="42" spans="9:17">
      <c r="I42" s="41"/>
      <c r="J42" s="91"/>
      <c r="K42" s="41"/>
      <c r="L42" s="41"/>
      <c r="M42" s="41"/>
      <c r="O42" s="83"/>
      <c r="Q42" s="5"/>
    </row>
    <row r="43" spans="9:17">
      <c r="I43" s="41"/>
      <c r="J43" s="91"/>
      <c r="K43" s="41"/>
      <c r="L43" s="41"/>
      <c r="M43" s="41"/>
      <c r="O43" s="83"/>
      <c r="Q43" s="5"/>
    </row>
    <row r="44" spans="9:17">
      <c r="O44" s="83"/>
      <c r="Q44" s="5"/>
    </row>
    <row r="45" spans="9:17">
      <c r="O45" s="83"/>
      <c r="Q45" s="5"/>
    </row>
    <row r="46" spans="9:17">
      <c r="O46" s="83"/>
      <c r="Q46" s="5"/>
    </row>
    <row r="47" spans="9:17">
      <c r="O47" s="83"/>
      <c r="Q47" s="5"/>
    </row>
    <row r="48" spans="9:17">
      <c r="O48" s="83"/>
      <c r="Q48" s="5"/>
    </row>
    <row r="49" spans="15:17">
      <c r="O49" s="83"/>
      <c r="Q49" s="5"/>
    </row>
    <row r="50" spans="15:17">
      <c r="O50" s="83"/>
      <c r="Q50" s="5"/>
    </row>
    <row r="51" spans="15:17">
      <c r="O51" s="83"/>
      <c r="Q51" s="5"/>
    </row>
    <row r="52" spans="15:17">
      <c r="O52" s="83"/>
      <c r="Q52" s="5"/>
    </row>
    <row r="53" spans="15:17">
      <c r="O53" s="83"/>
      <c r="Q53" s="5"/>
    </row>
    <row r="54" spans="15:17">
      <c r="O54" s="83"/>
      <c r="Q54" s="5"/>
    </row>
    <row r="55" spans="15:17">
      <c r="O55" s="83"/>
      <c r="Q55" s="5"/>
    </row>
    <row r="56" spans="15:17">
      <c r="O56" s="83"/>
      <c r="Q56" s="5"/>
    </row>
    <row r="57" spans="15:17">
      <c r="O57" s="83"/>
      <c r="Q57" s="5"/>
    </row>
    <row r="58" spans="15:17">
      <c r="O58" s="83"/>
      <c r="Q58" s="5"/>
    </row>
    <row r="59" spans="15:17">
      <c r="O59" s="83"/>
      <c r="Q59" s="5"/>
    </row>
    <row r="60" spans="15:17">
      <c r="O60" s="83"/>
      <c r="Q60" s="5"/>
    </row>
    <row r="61" spans="15:17">
      <c r="O61" s="83"/>
      <c r="Q61" s="5"/>
    </row>
    <row r="62" spans="15:17">
      <c r="O62" s="83"/>
      <c r="Q62" s="5"/>
    </row>
    <row r="63" spans="15:17">
      <c r="O63" s="83"/>
      <c r="Q63" s="5"/>
    </row>
    <row r="64" spans="15:17">
      <c r="O64" s="83"/>
      <c r="Q64" s="5"/>
    </row>
    <row r="65" spans="15:17">
      <c r="O65" s="83"/>
      <c r="Q65" s="5"/>
    </row>
    <row r="66" spans="15:17">
      <c r="O66" s="83"/>
      <c r="Q66" s="5"/>
    </row>
    <row r="67" spans="15:17">
      <c r="O67" s="83"/>
      <c r="Q67" s="5"/>
    </row>
    <row r="68" spans="15:17">
      <c r="O68" s="83"/>
      <c r="Q68" s="5"/>
    </row>
    <row r="69" spans="15:17">
      <c r="O69" s="83"/>
      <c r="Q69" s="5"/>
    </row>
    <row r="70" spans="15:17">
      <c r="O70" s="83"/>
      <c r="Q70" s="5"/>
    </row>
    <row r="71" spans="15:17">
      <c r="O71" s="83"/>
      <c r="Q71" s="5"/>
    </row>
    <row r="72" spans="15:17">
      <c r="O72" s="83"/>
      <c r="Q72" s="5"/>
    </row>
    <row r="73" spans="15:17">
      <c r="O73" s="83"/>
      <c r="Q73" s="5"/>
    </row>
    <row r="74" spans="15:17">
      <c r="O74" s="83"/>
      <c r="Q74" s="5"/>
    </row>
    <row r="75" spans="15:17">
      <c r="O75" s="83"/>
      <c r="Q75" s="5"/>
    </row>
    <row r="76" spans="15:17">
      <c r="O76" s="83"/>
      <c r="Q76" s="5"/>
    </row>
    <row r="77" spans="15:17">
      <c r="O77" s="83"/>
      <c r="Q77" s="5"/>
    </row>
    <row r="78" spans="15:17">
      <c r="O78" s="83"/>
      <c r="Q78" s="5"/>
    </row>
    <row r="79" spans="15:17">
      <c r="O79" s="83"/>
      <c r="Q79" s="5"/>
    </row>
    <row r="80" spans="15:17">
      <c r="O80" s="83"/>
      <c r="Q80" s="5"/>
    </row>
    <row r="81" spans="15:17">
      <c r="O81" s="83"/>
      <c r="Q81" s="5"/>
    </row>
    <row r="82" spans="15:17">
      <c r="O82" s="83"/>
      <c r="Q82" s="5"/>
    </row>
    <row r="83" spans="15:17">
      <c r="O83" s="83"/>
      <c r="Q83" s="5"/>
    </row>
    <row r="84" spans="15:17">
      <c r="O84" s="83"/>
      <c r="Q84" s="5"/>
    </row>
    <row r="85" spans="15:17">
      <c r="O85" s="83"/>
      <c r="Q85" s="5"/>
    </row>
    <row r="86" spans="15:17">
      <c r="O86" s="83"/>
      <c r="Q86" s="5"/>
    </row>
    <row r="87" spans="15:17">
      <c r="O87" s="83"/>
      <c r="Q87" s="5"/>
    </row>
    <row r="88" spans="15:17">
      <c r="O88" s="83"/>
      <c r="Q88" s="5"/>
    </row>
    <row r="89" spans="15:17">
      <c r="O89" s="83"/>
      <c r="Q89" s="5"/>
    </row>
    <row r="90" spans="15:17">
      <c r="O90" s="83"/>
      <c r="Q90" s="5"/>
    </row>
    <row r="91" spans="15:17">
      <c r="O91" s="83"/>
      <c r="Q91" s="5"/>
    </row>
    <row r="92" spans="15:17">
      <c r="O92" s="83"/>
      <c r="Q92" s="5"/>
    </row>
    <row r="93" spans="15:17">
      <c r="O93" s="83"/>
      <c r="Q93" s="5"/>
    </row>
    <row r="94" spans="15:17">
      <c r="O94" s="83"/>
      <c r="Q94" s="5"/>
    </row>
    <row r="95" spans="15:17">
      <c r="O95" s="83"/>
      <c r="Q95" s="5"/>
    </row>
    <row r="96" spans="15:17">
      <c r="O96" s="83"/>
      <c r="Q96" s="5"/>
    </row>
    <row r="97" spans="15:17">
      <c r="O97" s="83"/>
      <c r="Q97" s="5"/>
    </row>
    <row r="98" spans="15:17">
      <c r="O98" s="83"/>
      <c r="Q98" s="5"/>
    </row>
    <row r="99" spans="15:17">
      <c r="O99" s="83"/>
      <c r="Q99" s="5"/>
    </row>
    <row r="100" spans="15:17">
      <c r="O100" s="83"/>
      <c r="Q100" s="5"/>
    </row>
    <row r="101" spans="15:17">
      <c r="O101" s="83"/>
      <c r="Q101" s="5"/>
    </row>
    <row r="102" spans="15:17">
      <c r="O102" s="83"/>
      <c r="Q102" s="5"/>
    </row>
    <row r="103" spans="15:17">
      <c r="O103" s="83"/>
      <c r="Q103" s="5"/>
    </row>
    <row r="104" spans="15:17">
      <c r="O104" s="83"/>
      <c r="Q104" s="5"/>
    </row>
  </sheetData>
  <mergeCells count="1">
    <mergeCell ref="I1:O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953" r:id="rId3" name="Button 1">
              <controlPr defaultSize="0" print="0" autoFill="0" autoPict="0" macro="[0]!Ryminus">
                <anchor moveWithCells="1">
                  <from>
                    <xdr:col>9</xdr:col>
                    <xdr:colOff>133350</xdr:colOff>
                    <xdr:row>2</xdr:row>
                    <xdr:rowOff>95250</xdr:rowOff>
                  </from>
                  <to>
                    <xdr:col>10</xdr:col>
                    <xdr:colOff>400050</xdr:colOff>
                    <xdr:row>4</xdr:row>
                    <xdr:rowOff>114300</xdr:rowOff>
                  </to>
                </anchor>
              </controlPr>
            </control>
          </mc:Choice>
        </mc:AlternateContent>
        <mc:AlternateContent xmlns:mc="http://schemas.openxmlformats.org/markup-compatibility/2006">
          <mc:Choice Requires="x14">
            <control shapeId="125954" r:id="rId4" name="Button 2">
              <controlPr defaultSize="0" print="0" autoFill="0" autoPict="0" macro="[0]!Ryplus">
                <anchor moveWithCells="1">
                  <from>
                    <xdr:col>11</xdr:col>
                    <xdr:colOff>57150</xdr:colOff>
                    <xdr:row>2</xdr:row>
                    <xdr:rowOff>95250</xdr:rowOff>
                  </from>
                  <to>
                    <xdr:col>12</xdr:col>
                    <xdr:colOff>552450</xdr:colOff>
                    <xdr:row>4</xdr:row>
                    <xdr:rowOff>114300</xdr:rowOff>
                  </to>
                </anchor>
              </controlPr>
            </control>
          </mc:Choice>
        </mc:AlternateContent>
        <mc:AlternateContent xmlns:mc="http://schemas.openxmlformats.org/markup-compatibility/2006">
          <mc:Choice Requires="x14">
            <control shapeId="125955" r:id="rId5" name="Button 3">
              <controlPr defaultSize="0" print="0" autoFill="0" autoPict="0" macro="[0]!Rxminus">
                <anchor moveWithCells="1">
                  <from>
                    <xdr:col>12</xdr:col>
                    <xdr:colOff>95250</xdr:colOff>
                    <xdr:row>5</xdr:row>
                    <xdr:rowOff>28575</xdr:rowOff>
                  </from>
                  <to>
                    <xdr:col>12</xdr:col>
                    <xdr:colOff>552450</xdr:colOff>
                    <xdr:row>7</xdr:row>
                    <xdr:rowOff>104775</xdr:rowOff>
                  </to>
                </anchor>
              </controlPr>
            </control>
          </mc:Choice>
        </mc:AlternateContent>
        <mc:AlternateContent xmlns:mc="http://schemas.openxmlformats.org/markup-compatibility/2006">
          <mc:Choice Requires="x14">
            <control shapeId="125956" r:id="rId6" name="Button 4">
              <controlPr defaultSize="0" print="0" autoFill="0" autoPict="0" macro="[0]!Rxplus">
                <anchor moveWithCells="1">
                  <from>
                    <xdr:col>12</xdr:col>
                    <xdr:colOff>95250</xdr:colOff>
                    <xdr:row>7</xdr:row>
                    <xdr:rowOff>142875</xdr:rowOff>
                  </from>
                  <to>
                    <xdr:col>12</xdr:col>
                    <xdr:colOff>552450</xdr:colOff>
                    <xdr:row>10</xdr:row>
                    <xdr:rowOff>95250</xdr:rowOff>
                  </to>
                </anchor>
              </controlPr>
            </control>
          </mc:Choice>
        </mc:AlternateContent>
        <mc:AlternateContent xmlns:mc="http://schemas.openxmlformats.org/markup-compatibility/2006">
          <mc:Choice Requires="x14">
            <control shapeId="125957" r:id="rId7" name="Button 5">
              <controlPr defaultSize="0" print="0" autoFill="0" autoPict="0" macro="[0]!Roto回転したグラフ">
                <anchor moveWithCells="1" sizeWithCells="1">
                  <from>
                    <xdr:col>8</xdr:col>
                    <xdr:colOff>57150</xdr:colOff>
                    <xdr:row>14</xdr:row>
                    <xdr:rowOff>19050</xdr:rowOff>
                  </from>
                  <to>
                    <xdr:col>12</xdr:col>
                    <xdr:colOff>590550</xdr:colOff>
                    <xdr:row>16</xdr:row>
                    <xdr:rowOff>152400</xdr:rowOff>
                  </to>
                </anchor>
              </controlPr>
            </control>
          </mc:Choice>
        </mc:AlternateContent>
        <mc:AlternateContent xmlns:mc="http://schemas.openxmlformats.org/markup-compatibility/2006">
          <mc:Choice Requires="x14">
            <control shapeId="125958" r:id="rId8" name="Button 6">
              <controlPr defaultSize="0" print="0" autoFill="0" autoPict="0" macro="[0]!RotoXY初期値">
                <anchor moveWithCells="1" sizeWithCells="1">
                  <from>
                    <xdr:col>8</xdr:col>
                    <xdr:colOff>57150</xdr:colOff>
                    <xdr:row>11</xdr:row>
                    <xdr:rowOff>57150</xdr:rowOff>
                  </from>
                  <to>
                    <xdr:col>12</xdr:col>
                    <xdr:colOff>38100</xdr:colOff>
                    <xdr:row>13</xdr:row>
                    <xdr:rowOff>133350</xdr:rowOff>
                  </to>
                </anchor>
              </controlPr>
            </control>
          </mc:Choice>
        </mc:AlternateContent>
        <mc:AlternateContent xmlns:mc="http://schemas.openxmlformats.org/markup-compatibility/2006">
          <mc:Choice Requires="x14">
            <control shapeId="125959" r:id="rId9" name="Button 7">
              <controlPr defaultSize="0" print="0" autoFill="0" autoPict="0" macro="[0]!Roto初期グラフ">
                <anchor moveWithCells="1" sizeWithCells="1">
                  <from>
                    <xdr:col>8</xdr:col>
                    <xdr:colOff>57150</xdr:colOff>
                    <xdr:row>21</xdr:row>
                    <xdr:rowOff>28575</xdr:rowOff>
                  </from>
                  <to>
                    <xdr:col>12</xdr:col>
                    <xdr:colOff>590550</xdr:colOff>
                    <xdr:row>24</xdr:row>
                    <xdr:rowOff>171450</xdr:rowOff>
                  </to>
                </anchor>
              </controlPr>
            </control>
          </mc:Choice>
        </mc:AlternateContent>
        <mc:AlternateContent xmlns:mc="http://schemas.openxmlformats.org/markup-compatibility/2006">
          <mc:Choice Requires="x14">
            <control shapeId="125960" r:id="rId10" name="Button 8">
              <controlPr defaultSize="0" print="0" autoFill="0" autoPict="0" macro="[0]!手順書へ">
                <anchor moveWithCells="1" sizeWithCells="1">
                  <from>
                    <xdr:col>8</xdr:col>
                    <xdr:colOff>209550</xdr:colOff>
                    <xdr:row>31</xdr:row>
                    <xdr:rowOff>19050</xdr:rowOff>
                  </from>
                  <to>
                    <xdr:col>12</xdr:col>
                    <xdr:colOff>533400</xdr:colOff>
                    <xdr:row>33</xdr:row>
                    <xdr:rowOff>76200</xdr:rowOff>
                  </to>
                </anchor>
              </controlPr>
            </control>
          </mc:Choice>
        </mc:AlternateContent>
        <mc:AlternateContent xmlns:mc="http://schemas.openxmlformats.org/markup-compatibility/2006">
          <mc:Choice Requires="x14">
            <control shapeId="125962" r:id="rId11" name="Button 10">
              <controlPr defaultSize="0" print="0" autoFill="0" autoPict="0" macro="[0]!Rotoグラフ回転後">
                <anchor moveWithCells="1" sizeWithCells="1">
                  <from>
                    <xdr:col>8</xdr:col>
                    <xdr:colOff>57150</xdr:colOff>
                    <xdr:row>17</xdr:row>
                    <xdr:rowOff>28575</xdr:rowOff>
                  </from>
                  <to>
                    <xdr:col>12</xdr:col>
                    <xdr:colOff>57150</xdr:colOff>
                    <xdr:row>20</xdr:row>
                    <xdr:rowOff>142875</xdr:rowOff>
                  </to>
                </anchor>
              </controlPr>
            </control>
          </mc:Choice>
        </mc:AlternateContent>
        <mc:AlternateContent xmlns:mc="http://schemas.openxmlformats.org/markup-compatibility/2006">
          <mc:Choice Requires="x14">
            <control shapeId="125963" r:id="rId12" name="Button 11">
              <controlPr defaultSize="0" print="0" autoFill="0" autoPict="0" macro="[0]!Rotoへ">
                <anchor moveWithCells="1" sizeWithCells="1">
                  <from>
                    <xdr:col>8</xdr:col>
                    <xdr:colOff>209550</xdr:colOff>
                    <xdr:row>28</xdr:row>
                    <xdr:rowOff>95250</xdr:rowOff>
                  </from>
                  <to>
                    <xdr:col>12</xdr:col>
                    <xdr:colOff>523875</xdr:colOff>
                    <xdr:row>31</xdr:row>
                    <xdr:rowOff>19050</xdr:rowOff>
                  </to>
                </anchor>
              </controlPr>
            </control>
          </mc:Choice>
        </mc:AlternateContent>
        <mc:AlternateContent xmlns:mc="http://schemas.openxmlformats.org/markup-compatibility/2006">
          <mc:Choice Requires="x14">
            <control shapeId="125965" r:id="rId13" name="Button 13">
              <controlPr defaultSize="0" print="0" autoFill="0" autoPict="0" macro="[0]!X軸へ">
                <anchor moveWithCells="1" sizeWithCells="1">
                  <from>
                    <xdr:col>8</xdr:col>
                    <xdr:colOff>209550</xdr:colOff>
                    <xdr:row>25</xdr:row>
                    <xdr:rowOff>180975</xdr:rowOff>
                  </from>
                  <to>
                    <xdr:col>10</xdr:col>
                    <xdr:colOff>95250</xdr:colOff>
                    <xdr:row>28</xdr:row>
                    <xdr:rowOff>76200</xdr:rowOff>
                  </to>
                </anchor>
              </controlPr>
            </control>
          </mc:Choice>
        </mc:AlternateContent>
        <mc:AlternateContent xmlns:mc="http://schemas.openxmlformats.org/markup-compatibility/2006">
          <mc:Choice Requires="x14">
            <control shapeId="125966" r:id="rId14" name="Button 14">
              <controlPr defaultSize="0" print="0" autoFill="0" autoPict="0" macro="[0]!Y軸へ">
                <anchor moveWithCells="1" sizeWithCells="1">
                  <from>
                    <xdr:col>10</xdr:col>
                    <xdr:colOff>114300</xdr:colOff>
                    <xdr:row>25</xdr:row>
                    <xdr:rowOff>180975</xdr:rowOff>
                  </from>
                  <to>
                    <xdr:col>12</xdr:col>
                    <xdr:colOff>523875</xdr:colOff>
                    <xdr:row>28</xdr:row>
                    <xdr:rowOff>76200</xdr:rowOff>
                  </to>
                </anchor>
              </controlPr>
            </control>
          </mc:Choice>
        </mc:AlternateContent>
        <mc:AlternateContent xmlns:mc="http://schemas.openxmlformats.org/markup-compatibility/2006">
          <mc:Choice Requires="x14">
            <control shapeId="125967" r:id="rId15" name="Button 15">
              <controlPr defaultSize="0" print="0" autoFill="0" autoPict="0" macro="[0]!元データへ">
                <anchor moveWithCells="1">
                  <from>
                    <xdr:col>8</xdr:col>
                    <xdr:colOff>190500</xdr:colOff>
                    <xdr:row>33</xdr:row>
                    <xdr:rowOff>133350</xdr:rowOff>
                  </from>
                  <to>
                    <xdr:col>12</xdr:col>
                    <xdr:colOff>533400</xdr:colOff>
                    <xdr:row>35</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sheetPr>
  <dimension ref="A1:J102"/>
  <sheetViews>
    <sheetView zoomScaleNormal="100" workbookViewId="0">
      <selection activeCell="B1" sqref="B1:C1"/>
    </sheetView>
  </sheetViews>
  <sheetFormatPr defaultColWidth="9.140625" defaultRowHeight="12"/>
  <cols>
    <col min="1" max="1" width="6.5703125" style="1" bestFit="1" customWidth="1"/>
    <col min="2" max="2" width="7.5703125" style="8" bestFit="1" customWidth="1"/>
    <col min="3" max="3" width="15.28515625" style="115" bestFit="1" customWidth="1"/>
    <col min="4" max="4" width="30.7109375" style="24" customWidth="1"/>
    <col min="5" max="5" width="30.7109375" style="3" customWidth="1"/>
    <col min="6" max="6" width="3.5703125" style="4" bestFit="1" customWidth="1"/>
    <col min="7" max="7" width="7.5703125" style="8" bestFit="1" customWidth="1"/>
    <col min="8" max="8" width="13.85546875" style="115" bestFit="1" customWidth="1"/>
    <col min="9" max="9" width="30.7109375" style="24" customWidth="1"/>
    <col min="10" max="10" width="30.7109375" style="3" customWidth="1"/>
    <col min="11" max="16384" width="9.140625" style="3"/>
  </cols>
  <sheetData>
    <row r="1" spans="1:10" ht="27.75" customHeight="1" thickBot="1">
      <c r="A1" s="81">
        <f>MAX(B$3:B$200)</f>
        <v>-0.23796401564605993</v>
      </c>
      <c r="B1" s="152" t="s">
        <v>74</v>
      </c>
      <c r="C1" s="153"/>
      <c r="D1" s="106" t="s">
        <v>76</v>
      </c>
      <c r="E1" s="107" t="s">
        <v>77</v>
      </c>
      <c r="F1" s="110">
        <f>MAX(G$3:G$200)</f>
        <v>5.2106385050179869</v>
      </c>
      <c r="G1" s="111"/>
      <c r="H1" s="116"/>
      <c r="I1" s="106"/>
      <c r="J1" s="107"/>
    </row>
    <row r="2" spans="1:10" ht="26.25" customHeight="1" thickBot="1">
      <c r="A2" s="25">
        <f>MAX(-MIN(B$3:B$200),A1)</f>
        <v>0.92944101008761582</v>
      </c>
      <c r="B2" s="112" t="s">
        <v>75</v>
      </c>
      <c r="C2" s="114" t="s">
        <v>43</v>
      </c>
      <c r="D2" s="108" t="s">
        <v>78</v>
      </c>
      <c r="E2" s="109" t="s">
        <v>79</v>
      </c>
      <c r="F2" s="110">
        <f>MAX(-MIN(G$3:G$200),F1)</f>
        <v>5.2106385050179869</v>
      </c>
      <c r="G2" s="112" t="s">
        <v>75</v>
      </c>
      <c r="H2" s="114" t="s">
        <v>42</v>
      </c>
      <c r="I2" s="108" t="s">
        <v>78</v>
      </c>
      <c r="J2" s="109" t="s">
        <v>79</v>
      </c>
    </row>
    <row r="3" spans="1:10" ht="13.5">
      <c r="A3" s="80">
        <v>1</v>
      </c>
      <c r="B3" s="113">
        <v>-0.23796401564605993</v>
      </c>
      <c r="C3" s="121" t="s">
        <v>153</v>
      </c>
      <c r="D3" s="23" t="s">
        <v>167</v>
      </c>
      <c r="E3" s="6" t="s">
        <v>51</v>
      </c>
      <c r="F3" s="4">
        <v>1</v>
      </c>
      <c r="G3" s="113">
        <v>5.2106385050179869</v>
      </c>
      <c r="H3" s="83" t="s">
        <v>160</v>
      </c>
      <c r="I3" s="23" t="s">
        <v>51</v>
      </c>
      <c r="J3" s="6" t="s">
        <v>172</v>
      </c>
    </row>
    <row r="4" spans="1:10" ht="13.5">
      <c r="A4" s="80">
        <v>2</v>
      </c>
      <c r="B4" s="113">
        <v>-0.57461357435504989</v>
      </c>
      <c r="C4" s="121" t="s">
        <v>154</v>
      </c>
      <c r="D4" s="23" t="s">
        <v>175</v>
      </c>
      <c r="E4" s="6" t="s">
        <v>51</v>
      </c>
      <c r="F4" s="4">
        <v>2</v>
      </c>
      <c r="G4" s="113">
        <v>0.51733995845864966</v>
      </c>
      <c r="H4" s="83" t="s">
        <v>158</v>
      </c>
      <c r="I4" s="23" t="s">
        <v>51</v>
      </c>
      <c r="J4" s="6" t="s">
        <v>184</v>
      </c>
    </row>
    <row r="5" spans="1:10" ht="13.5">
      <c r="A5" s="80">
        <v>3</v>
      </c>
      <c r="B5" s="113">
        <v>-0.58500530139674267</v>
      </c>
      <c r="C5" s="121" t="s">
        <v>152</v>
      </c>
      <c r="D5" s="23" t="s">
        <v>175</v>
      </c>
      <c r="E5" s="6" t="s">
        <v>51</v>
      </c>
      <c r="F5" s="4">
        <v>3</v>
      </c>
      <c r="G5" s="113">
        <v>0.46613342220067933</v>
      </c>
      <c r="H5" s="83" t="s">
        <v>162</v>
      </c>
      <c r="I5" s="23" t="s">
        <v>51</v>
      </c>
      <c r="J5" s="6" t="s">
        <v>184</v>
      </c>
    </row>
    <row r="6" spans="1:10" ht="13.5">
      <c r="A6" s="80">
        <v>4</v>
      </c>
      <c r="B6" s="113">
        <v>-0.71964075121776527</v>
      </c>
      <c r="C6" s="121" t="s">
        <v>150</v>
      </c>
      <c r="D6" s="23" t="s">
        <v>180</v>
      </c>
      <c r="E6" s="6" t="s">
        <v>51</v>
      </c>
      <c r="F6" s="4">
        <v>4</v>
      </c>
      <c r="G6" s="113">
        <v>0.37657329499046527</v>
      </c>
      <c r="H6" s="83" t="s">
        <v>164</v>
      </c>
      <c r="I6" s="23" t="s">
        <v>51</v>
      </c>
      <c r="J6" s="6" t="s">
        <v>184</v>
      </c>
    </row>
    <row r="7" spans="1:10" ht="13.5">
      <c r="A7" s="80">
        <v>5</v>
      </c>
      <c r="B7" s="113">
        <v>-0.76407068899315655</v>
      </c>
      <c r="C7" s="121" t="s">
        <v>151</v>
      </c>
      <c r="D7" s="23" t="s">
        <v>181</v>
      </c>
      <c r="E7" s="6" t="s">
        <v>51</v>
      </c>
      <c r="F7" s="4">
        <v>5</v>
      </c>
      <c r="G7" s="113">
        <v>0.36241953622406003</v>
      </c>
      <c r="H7" s="83" t="s">
        <v>165</v>
      </c>
      <c r="I7" s="23" t="s">
        <v>51</v>
      </c>
      <c r="J7" s="6" t="s">
        <v>184</v>
      </c>
    </row>
    <row r="8" spans="1:10" ht="13.5">
      <c r="A8" s="80">
        <v>6</v>
      </c>
      <c r="B8" s="113">
        <v>-0.92836320124254057</v>
      </c>
      <c r="C8" s="121" t="s">
        <v>148</v>
      </c>
      <c r="D8" s="23" t="s">
        <v>179</v>
      </c>
      <c r="E8" s="6" t="s">
        <v>51</v>
      </c>
      <c r="F8" s="4">
        <v>6</v>
      </c>
      <c r="G8" s="113">
        <v>0.26653030671034872</v>
      </c>
      <c r="H8" s="83" t="s">
        <v>166</v>
      </c>
      <c r="I8" s="23" t="s">
        <v>51</v>
      </c>
      <c r="J8" s="6" t="s">
        <v>185</v>
      </c>
    </row>
    <row r="9" spans="1:10" ht="13.5">
      <c r="A9" s="80">
        <v>7</v>
      </c>
      <c r="B9" s="113">
        <v>-0.92944101008761582</v>
      </c>
      <c r="C9" s="121" t="s">
        <v>149</v>
      </c>
      <c r="D9" s="23" t="s">
        <v>172</v>
      </c>
      <c r="E9" s="6" t="s">
        <v>51</v>
      </c>
      <c r="F9" s="4">
        <v>7</v>
      </c>
      <c r="G9" s="113">
        <v>-0.11208507604961659</v>
      </c>
      <c r="H9" s="83" t="s">
        <v>159</v>
      </c>
      <c r="I9" s="23" t="s">
        <v>51</v>
      </c>
      <c r="J9" s="6" t="s">
        <v>51</v>
      </c>
    </row>
    <row r="10" spans="1:10" ht="13.5">
      <c r="A10" s="80"/>
      <c r="B10" s="113"/>
      <c r="C10" s="121"/>
      <c r="D10" s="23"/>
      <c r="E10" s="6"/>
      <c r="F10" s="4">
        <v>8</v>
      </c>
      <c r="G10" s="113">
        <v>-0.58190935887534589</v>
      </c>
      <c r="H10" s="83" t="s">
        <v>163</v>
      </c>
      <c r="I10" s="23" t="s">
        <v>176</v>
      </c>
      <c r="J10" s="6" t="s">
        <v>51</v>
      </c>
    </row>
    <row r="11" spans="1:10" ht="13.5">
      <c r="A11" s="84"/>
      <c r="B11" s="113"/>
      <c r="C11" s="119"/>
      <c r="D11" s="23"/>
      <c r="E11" s="6"/>
      <c r="F11" s="4">
        <v>9</v>
      </c>
      <c r="G11" s="113">
        <v>-0.61484786694485416</v>
      </c>
      <c r="H11" s="83" t="s">
        <v>161</v>
      </c>
      <c r="I11" s="23" t="s">
        <v>176</v>
      </c>
      <c r="J11" s="6" t="s">
        <v>51</v>
      </c>
    </row>
    <row r="12" spans="1:10" ht="13.5">
      <c r="A12" s="84"/>
      <c r="B12" s="113"/>
      <c r="C12" s="119"/>
      <c r="D12" s="23"/>
      <c r="E12" s="6"/>
      <c r="F12" s="4">
        <v>10</v>
      </c>
      <c r="G12" s="113">
        <v>-0.72922337228700795</v>
      </c>
      <c r="H12" s="83" t="s">
        <v>157</v>
      </c>
      <c r="I12" s="23" t="s">
        <v>183</v>
      </c>
      <c r="J12" s="6" t="s">
        <v>51</v>
      </c>
    </row>
    <row r="13" spans="1:10" ht="13.5">
      <c r="A13" s="84"/>
      <c r="B13" s="113"/>
      <c r="C13" s="119"/>
      <c r="D13" s="23"/>
      <c r="E13" s="6"/>
      <c r="F13" s="4">
        <v>11</v>
      </c>
      <c r="G13" s="113">
        <v>-2.3403888190759914</v>
      </c>
      <c r="H13" s="83" t="s">
        <v>155</v>
      </c>
      <c r="I13" s="23" t="s">
        <v>182</v>
      </c>
      <c r="J13" s="6" t="s">
        <v>51</v>
      </c>
    </row>
    <row r="14" spans="1:10" ht="13.5">
      <c r="A14" s="84"/>
      <c r="B14" s="113"/>
      <c r="C14" s="119"/>
      <c r="D14" s="23"/>
      <c r="E14" s="6"/>
      <c r="F14" s="4">
        <v>12</v>
      </c>
      <c r="G14" s="113">
        <v>-2.8211805303693684</v>
      </c>
      <c r="H14" s="83" t="s">
        <v>156</v>
      </c>
      <c r="I14" s="23" t="s">
        <v>169</v>
      </c>
      <c r="J14" s="6" t="s">
        <v>51</v>
      </c>
    </row>
    <row r="15" spans="1:10" ht="13.5">
      <c r="A15" s="84"/>
      <c r="B15" s="113"/>
      <c r="C15" s="119"/>
      <c r="D15" s="23"/>
      <c r="E15" s="6"/>
      <c r="G15" s="113"/>
      <c r="H15" s="83"/>
      <c r="I15" s="23"/>
      <c r="J15" s="6"/>
    </row>
    <row r="16" spans="1:10" ht="13.5">
      <c r="A16" s="84"/>
      <c r="B16" s="113"/>
      <c r="C16" s="119"/>
      <c r="D16" s="23"/>
      <c r="E16" s="6"/>
      <c r="G16" s="113"/>
      <c r="H16" s="83"/>
      <c r="I16" s="23"/>
      <c r="J16" s="6"/>
    </row>
    <row r="17" spans="1:10" ht="13.5">
      <c r="A17" s="84"/>
      <c r="B17" s="113"/>
      <c r="C17" s="119"/>
      <c r="D17" s="23"/>
      <c r="E17" s="6"/>
      <c r="G17" s="113"/>
      <c r="H17" s="83"/>
      <c r="I17" s="23"/>
      <c r="J17" s="6"/>
    </row>
    <row r="18" spans="1:10" ht="13.5">
      <c r="A18" s="84"/>
      <c r="B18" s="113"/>
      <c r="C18" s="119"/>
      <c r="D18" s="23"/>
      <c r="E18" s="6"/>
      <c r="G18" s="113"/>
      <c r="H18" s="83"/>
      <c r="I18" s="23"/>
      <c r="J18" s="6"/>
    </row>
    <row r="19" spans="1:10" ht="13.5">
      <c r="A19" s="84"/>
      <c r="B19" s="113"/>
      <c r="C19" s="119"/>
      <c r="D19" s="23"/>
      <c r="E19" s="6"/>
      <c r="G19" s="113"/>
      <c r="H19" s="83"/>
      <c r="I19" s="23"/>
      <c r="J19" s="6"/>
    </row>
    <row r="20" spans="1:10" ht="13.5">
      <c r="A20" s="84"/>
      <c r="B20" s="113"/>
      <c r="C20" s="119"/>
      <c r="D20" s="23"/>
      <c r="E20" s="6"/>
      <c r="G20" s="113"/>
      <c r="H20" s="83"/>
      <c r="I20" s="23"/>
      <c r="J20" s="6"/>
    </row>
    <row r="21" spans="1:10" ht="13.5">
      <c r="A21" s="84"/>
      <c r="B21" s="113"/>
      <c r="C21" s="119"/>
      <c r="D21" s="23"/>
      <c r="E21" s="6"/>
      <c r="G21" s="113"/>
      <c r="H21" s="83"/>
      <c r="I21" s="23"/>
      <c r="J21" s="6"/>
    </row>
    <row r="22" spans="1:10" ht="13.5">
      <c r="A22" s="84"/>
      <c r="B22" s="113"/>
      <c r="C22" s="119"/>
      <c r="D22" s="23"/>
      <c r="E22" s="6"/>
      <c r="G22" s="113"/>
      <c r="H22" s="83"/>
      <c r="I22" s="23"/>
      <c r="J22" s="6"/>
    </row>
    <row r="23" spans="1:10" ht="13.5">
      <c r="A23" s="84"/>
      <c r="B23" s="113"/>
      <c r="C23" s="119"/>
      <c r="D23" s="23"/>
      <c r="E23" s="6"/>
      <c r="G23" s="113"/>
      <c r="H23" s="83"/>
      <c r="I23" s="23"/>
      <c r="J23" s="6"/>
    </row>
    <row r="24" spans="1:10" ht="13.5">
      <c r="A24" s="84"/>
      <c r="B24" s="113"/>
      <c r="C24" s="119"/>
      <c r="D24" s="23"/>
      <c r="E24" s="6"/>
      <c r="G24" s="113"/>
      <c r="H24" s="83"/>
      <c r="I24" s="23"/>
      <c r="J24" s="6"/>
    </row>
    <row r="25" spans="1:10" ht="13.5">
      <c r="A25" s="84"/>
      <c r="B25" s="113"/>
      <c r="C25" s="119"/>
      <c r="D25" s="23"/>
      <c r="E25" s="6"/>
      <c r="G25" s="113"/>
      <c r="H25" s="83"/>
      <c r="I25" s="23"/>
      <c r="J25" s="6"/>
    </row>
    <row r="26" spans="1:10" ht="13.5">
      <c r="A26" s="84"/>
      <c r="B26" s="113"/>
      <c r="C26" s="119"/>
      <c r="D26" s="23"/>
      <c r="E26" s="6"/>
      <c r="G26" s="113"/>
      <c r="H26" s="83"/>
      <c r="I26" s="23"/>
      <c r="J26" s="6"/>
    </row>
    <row r="27" spans="1:10" ht="13.5">
      <c r="A27" s="84"/>
      <c r="B27" s="113"/>
      <c r="C27" s="119"/>
      <c r="D27" s="23"/>
      <c r="E27" s="6"/>
      <c r="G27" s="113"/>
      <c r="H27" s="83"/>
      <c r="I27" s="23"/>
      <c r="J27" s="6"/>
    </row>
    <row r="28" spans="1:10" ht="13.5">
      <c r="B28" s="113"/>
      <c r="C28" s="117"/>
      <c r="D28" s="23"/>
      <c r="E28" s="6"/>
      <c r="G28" s="113"/>
      <c r="H28" s="83"/>
      <c r="I28" s="23"/>
      <c r="J28" s="6"/>
    </row>
    <row r="29" spans="1:10" ht="13.5">
      <c r="B29" s="113"/>
      <c r="C29" s="117"/>
      <c r="D29" s="23"/>
      <c r="E29" s="6"/>
      <c r="G29" s="113"/>
      <c r="H29" s="83"/>
      <c r="I29" s="23"/>
      <c r="J29" s="6"/>
    </row>
    <row r="30" spans="1:10" ht="13.5">
      <c r="B30" s="113"/>
      <c r="C30" s="117"/>
      <c r="D30" s="23"/>
      <c r="E30" s="6"/>
      <c r="G30" s="113"/>
      <c r="H30" s="83"/>
      <c r="I30" s="23"/>
      <c r="J30" s="6"/>
    </row>
    <row r="31" spans="1:10" ht="13.5">
      <c r="B31" s="113"/>
      <c r="C31" s="117"/>
      <c r="D31" s="23"/>
      <c r="E31" s="6"/>
      <c r="G31" s="113"/>
      <c r="H31" s="83"/>
      <c r="I31" s="23"/>
      <c r="J31" s="6"/>
    </row>
    <row r="32" spans="1:10" ht="13.5">
      <c r="B32" s="113"/>
      <c r="C32" s="117"/>
      <c r="D32" s="23"/>
      <c r="E32" s="6"/>
      <c r="G32" s="113"/>
      <c r="H32" s="83"/>
      <c r="I32" s="23"/>
      <c r="J32" s="6"/>
    </row>
    <row r="33" spans="2:10" ht="13.5">
      <c r="B33" s="113"/>
      <c r="C33" s="117"/>
      <c r="D33" s="23"/>
      <c r="E33" s="6"/>
      <c r="G33" s="113"/>
      <c r="H33" s="83"/>
      <c r="I33" s="23"/>
      <c r="J33" s="6"/>
    </row>
    <row r="34" spans="2:10" ht="13.5">
      <c r="B34" s="113"/>
      <c r="C34" s="117"/>
      <c r="D34" s="23"/>
      <c r="E34" s="6"/>
      <c r="G34" s="113"/>
      <c r="H34" s="83"/>
      <c r="I34" s="23"/>
      <c r="J34" s="6"/>
    </row>
    <row r="35" spans="2:10" ht="13.5">
      <c r="B35" s="113"/>
      <c r="C35" s="117"/>
      <c r="D35" s="23"/>
      <c r="E35" s="6"/>
      <c r="G35" s="113"/>
      <c r="H35" s="83"/>
      <c r="I35" s="23"/>
      <c r="J35" s="6"/>
    </row>
    <row r="36" spans="2:10" ht="13.5">
      <c r="B36" s="113"/>
      <c r="C36" s="117"/>
      <c r="D36" s="23"/>
      <c r="E36" s="6"/>
      <c r="G36" s="113"/>
      <c r="H36" s="83"/>
      <c r="I36" s="23"/>
      <c r="J36" s="6"/>
    </row>
    <row r="37" spans="2:10" ht="13.5">
      <c r="B37" s="113"/>
      <c r="C37" s="117"/>
      <c r="D37" s="23"/>
      <c r="E37" s="6"/>
      <c r="G37" s="113"/>
      <c r="H37" s="83"/>
      <c r="I37" s="23"/>
      <c r="J37" s="6"/>
    </row>
    <row r="38" spans="2:10" ht="13.5">
      <c r="B38" s="113"/>
      <c r="C38" s="117"/>
      <c r="D38" s="23"/>
      <c r="E38" s="6"/>
      <c r="G38" s="113"/>
      <c r="H38" s="83"/>
      <c r="I38" s="23"/>
      <c r="J38" s="6"/>
    </row>
    <row r="39" spans="2:10" ht="13.5">
      <c r="B39" s="113"/>
      <c r="C39" s="117"/>
      <c r="D39" s="23"/>
      <c r="E39" s="6"/>
      <c r="G39" s="113"/>
      <c r="H39" s="83"/>
      <c r="I39" s="23"/>
      <c r="J39" s="6"/>
    </row>
    <row r="40" spans="2:10" ht="13.5">
      <c r="B40" s="113"/>
      <c r="D40" s="23"/>
      <c r="E40" s="6"/>
      <c r="G40" s="113"/>
      <c r="H40" s="83"/>
      <c r="I40" s="23"/>
      <c r="J40" s="6"/>
    </row>
    <row r="41" spans="2:10" ht="13.5">
      <c r="B41" s="113"/>
      <c r="D41" s="23"/>
      <c r="E41" s="6"/>
      <c r="G41" s="113"/>
      <c r="H41" s="83"/>
      <c r="I41" s="23"/>
      <c r="J41" s="6"/>
    </row>
    <row r="42" spans="2:10" ht="13.5">
      <c r="B42" s="113"/>
      <c r="D42" s="23"/>
      <c r="E42" s="6"/>
      <c r="G42" s="113"/>
      <c r="H42" s="83"/>
      <c r="I42" s="23"/>
      <c r="J42" s="6"/>
    </row>
    <row r="43" spans="2:10" ht="13.5">
      <c r="B43" s="113"/>
      <c r="D43" s="23"/>
      <c r="E43" s="6"/>
      <c r="G43" s="113"/>
      <c r="H43" s="83"/>
      <c r="I43" s="23"/>
      <c r="J43" s="6"/>
    </row>
    <row r="44" spans="2:10" ht="13.5">
      <c r="B44" s="113"/>
      <c r="D44" s="23"/>
      <c r="E44" s="6"/>
      <c r="G44" s="113"/>
      <c r="H44" s="83"/>
      <c r="I44" s="23"/>
      <c r="J44" s="6"/>
    </row>
    <row r="45" spans="2:10" ht="13.5">
      <c r="B45" s="113"/>
      <c r="D45" s="23"/>
      <c r="E45" s="6"/>
      <c r="G45" s="113"/>
      <c r="H45" s="83"/>
      <c r="I45" s="23"/>
      <c r="J45" s="6"/>
    </row>
    <row r="46" spans="2:10" ht="13.5">
      <c r="B46" s="113"/>
      <c r="D46" s="23"/>
      <c r="E46" s="6"/>
      <c r="G46" s="113"/>
      <c r="H46" s="83"/>
      <c r="I46" s="23"/>
      <c r="J46" s="6"/>
    </row>
    <row r="47" spans="2:10" ht="13.5">
      <c r="B47" s="113"/>
      <c r="D47" s="23"/>
      <c r="E47" s="6"/>
      <c r="G47" s="113"/>
      <c r="H47" s="83"/>
      <c r="I47" s="23"/>
      <c r="J47" s="6"/>
    </row>
    <row r="48" spans="2:10" ht="13.5">
      <c r="B48" s="113"/>
      <c r="D48" s="23"/>
      <c r="E48" s="6"/>
      <c r="G48" s="113"/>
      <c r="H48" s="83"/>
      <c r="I48" s="23"/>
      <c r="J48" s="6"/>
    </row>
    <row r="49" spans="2:10" ht="13.5">
      <c r="B49" s="113"/>
      <c r="D49" s="23"/>
      <c r="E49" s="6"/>
      <c r="G49" s="113"/>
      <c r="H49" s="83"/>
      <c r="I49" s="23"/>
      <c r="J49" s="6"/>
    </row>
    <row r="50" spans="2:10" ht="13.5">
      <c r="B50" s="113"/>
      <c r="D50" s="23"/>
      <c r="E50" s="6"/>
      <c r="G50" s="113"/>
      <c r="H50" s="83"/>
      <c r="I50" s="23"/>
      <c r="J50" s="6"/>
    </row>
    <row r="51" spans="2:10" ht="13.5">
      <c r="B51" s="113"/>
      <c r="D51" s="23"/>
      <c r="E51" s="6"/>
      <c r="G51" s="113"/>
      <c r="H51" s="83"/>
      <c r="I51" s="23"/>
      <c r="J51" s="6"/>
    </row>
    <row r="52" spans="2:10" ht="13.5">
      <c r="B52" s="113"/>
      <c r="D52" s="23"/>
      <c r="E52" s="6"/>
      <c r="G52" s="113"/>
      <c r="H52" s="83"/>
      <c r="I52" s="23"/>
      <c r="J52" s="6"/>
    </row>
    <row r="53" spans="2:10" ht="13.5">
      <c r="B53" s="113"/>
      <c r="D53" s="23"/>
      <c r="E53" s="6"/>
      <c r="G53" s="113"/>
      <c r="H53" s="83"/>
      <c r="I53" s="23"/>
      <c r="J53" s="6"/>
    </row>
    <row r="54" spans="2:10" ht="13.5">
      <c r="B54" s="113"/>
      <c r="D54" s="23"/>
      <c r="E54" s="6"/>
      <c r="G54" s="113"/>
      <c r="H54" s="83"/>
      <c r="I54" s="23"/>
      <c r="J54" s="6"/>
    </row>
    <row r="55" spans="2:10" ht="13.5">
      <c r="B55" s="113"/>
      <c r="D55" s="23"/>
      <c r="E55" s="6"/>
      <c r="G55" s="113"/>
      <c r="H55" s="83"/>
      <c r="I55" s="23"/>
      <c r="J55" s="6"/>
    </row>
    <row r="56" spans="2:10" ht="13.5">
      <c r="B56" s="113"/>
      <c r="D56" s="23"/>
      <c r="E56" s="6"/>
      <c r="G56" s="113"/>
      <c r="H56" s="83"/>
      <c r="I56" s="23"/>
      <c r="J56" s="6"/>
    </row>
    <row r="57" spans="2:10" ht="13.5">
      <c r="B57" s="113"/>
      <c r="D57" s="23"/>
      <c r="E57" s="6"/>
      <c r="G57" s="113"/>
      <c r="H57" s="83"/>
      <c r="I57" s="23"/>
      <c r="J57" s="6"/>
    </row>
    <row r="58" spans="2:10" ht="13.5">
      <c r="B58" s="113"/>
      <c r="D58" s="23"/>
      <c r="E58" s="6"/>
      <c r="G58" s="113"/>
      <c r="H58" s="83"/>
      <c r="I58" s="23"/>
      <c r="J58" s="6"/>
    </row>
    <row r="59" spans="2:10" ht="13.5">
      <c r="B59" s="113"/>
      <c r="D59" s="23"/>
      <c r="E59" s="6"/>
      <c r="G59" s="113"/>
      <c r="H59" s="83"/>
      <c r="I59" s="23"/>
      <c r="J59" s="6"/>
    </row>
    <row r="60" spans="2:10" ht="13.5">
      <c r="B60" s="113"/>
      <c r="D60" s="23"/>
      <c r="E60" s="6"/>
      <c r="G60" s="113"/>
      <c r="H60" s="83"/>
      <c r="I60" s="23"/>
      <c r="J60" s="6"/>
    </row>
    <row r="61" spans="2:10" ht="13.5">
      <c r="B61" s="113"/>
      <c r="D61" s="23"/>
      <c r="E61" s="6"/>
      <c r="G61" s="113"/>
      <c r="H61" s="83"/>
      <c r="I61" s="23"/>
      <c r="J61" s="6"/>
    </row>
    <row r="62" spans="2:10" ht="13.5">
      <c r="B62" s="113"/>
      <c r="D62" s="23"/>
      <c r="E62" s="6"/>
      <c r="G62" s="113"/>
      <c r="H62" s="83"/>
      <c r="I62" s="23"/>
      <c r="J62" s="6"/>
    </row>
    <row r="63" spans="2:10" ht="13.5">
      <c r="B63" s="113"/>
      <c r="D63" s="23"/>
      <c r="E63" s="6"/>
      <c r="G63" s="113"/>
      <c r="H63" s="83"/>
      <c r="I63" s="23"/>
      <c r="J63" s="6"/>
    </row>
    <row r="64" spans="2:10" ht="13.5">
      <c r="B64" s="113"/>
      <c r="D64" s="23"/>
      <c r="E64" s="6"/>
      <c r="G64" s="113"/>
      <c r="H64" s="83"/>
      <c r="I64" s="23"/>
      <c r="J64" s="6"/>
    </row>
    <row r="65" spans="2:10" ht="13.5">
      <c r="B65" s="113"/>
      <c r="D65" s="23"/>
      <c r="E65" s="6"/>
      <c r="G65" s="113"/>
      <c r="H65" s="83"/>
      <c r="I65" s="23"/>
      <c r="J65" s="6"/>
    </row>
    <row r="66" spans="2:10" ht="13.5">
      <c r="B66" s="113"/>
      <c r="D66" s="23"/>
      <c r="E66" s="6"/>
      <c r="G66" s="113"/>
      <c r="H66" s="83"/>
      <c r="I66" s="23"/>
      <c r="J66" s="6"/>
    </row>
    <row r="67" spans="2:10" ht="13.5">
      <c r="B67" s="113"/>
      <c r="D67" s="23"/>
      <c r="E67" s="6"/>
      <c r="G67" s="113"/>
      <c r="H67" s="83"/>
      <c r="I67" s="23"/>
      <c r="J67" s="6"/>
    </row>
    <row r="68" spans="2:10" ht="13.5">
      <c r="B68" s="113"/>
      <c r="D68" s="23"/>
      <c r="E68" s="6"/>
      <c r="G68" s="113"/>
      <c r="H68" s="83"/>
      <c r="I68" s="23"/>
      <c r="J68" s="6"/>
    </row>
    <row r="69" spans="2:10" ht="13.5">
      <c r="B69" s="113"/>
      <c r="D69" s="23"/>
      <c r="E69" s="6"/>
      <c r="G69" s="113"/>
      <c r="H69" s="83"/>
      <c r="I69" s="23"/>
      <c r="J69" s="6"/>
    </row>
    <row r="70" spans="2:10" ht="13.5">
      <c r="B70" s="113"/>
      <c r="D70" s="23"/>
      <c r="E70" s="6"/>
      <c r="G70" s="113"/>
      <c r="H70" s="83"/>
      <c r="I70" s="23"/>
      <c r="J70" s="6"/>
    </row>
    <row r="71" spans="2:10" ht="13.5">
      <c r="B71" s="113"/>
      <c r="D71" s="23"/>
      <c r="E71" s="6"/>
      <c r="G71" s="113"/>
      <c r="H71" s="83"/>
      <c r="I71" s="23"/>
      <c r="J71" s="6"/>
    </row>
    <row r="72" spans="2:10" ht="13.5">
      <c r="B72" s="113"/>
      <c r="D72" s="23"/>
      <c r="E72" s="6"/>
      <c r="G72" s="113"/>
      <c r="H72" s="83"/>
      <c r="I72" s="23"/>
      <c r="J72" s="6"/>
    </row>
    <row r="73" spans="2:10" ht="13.5">
      <c r="G73" s="113"/>
      <c r="H73" s="83"/>
      <c r="I73" s="23"/>
      <c r="J73" s="6"/>
    </row>
    <row r="74" spans="2:10" ht="13.5">
      <c r="G74" s="113"/>
      <c r="H74" s="83"/>
      <c r="I74" s="23"/>
      <c r="J74" s="6"/>
    </row>
    <row r="75" spans="2:10" ht="13.5">
      <c r="G75" s="113"/>
      <c r="H75" s="83"/>
      <c r="I75" s="23"/>
      <c r="J75" s="6"/>
    </row>
    <row r="76" spans="2:10" ht="13.5">
      <c r="G76" s="113"/>
      <c r="H76" s="83"/>
      <c r="I76" s="23"/>
      <c r="J76" s="6"/>
    </row>
    <row r="77" spans="2:10" ht="13.5">
      <c r="G77" s="113"/>
      <c r="H77" s="83"/>
      <c r="I77" s="23"/>
      <c r="J77" s="6"/>
    </row>
    <row r="78" spans="2:10" ht="13.5">
      <c r="G78" s="113"/>
      <c r="H78" s="83"/>
      <c r="I78" s="23"/>
      <c r="J78" s="6"/>
    </row>
    <row r="79" spans="2:10" ht="13.5">
      <c r="G79" s="113"/>
      <c r="H79" s="83"/>
      <c r="I79" s="23"/>
      <c r="J79" s="6"/>
    </row>
    <row r="80" spans="2:10" ht="13.5">
      <c r="G80" s="113"/>
      <c r="H80" s="83"/>
      <c r="I80" s="23"/>
      <c r="J80" s="6"/>
    </row>
    <row r="81" spans="7:10" ht="13.5">
      <c r="G81" s="113"/>
      <c r="H81" s="83"/>
      <c r="I81" s="23"/>
      <c r="J81" s="6"/>
    </row>
    <row r="82" spans="7:10" ht="13.5">
      <c r="G82" s="113"/>
      <c r="H82" s="83"/>
      <c r="I82" s="23"/>
      <c r="J82" s="6"/>
    </row>
    <row r="83" spans="7:10" ht="13.5">
      <c r="G83" s="113"/>
      <c r="H83" s="83"/>
      <c r="I83" s="23"/>
      <c r="J83" s="6"/>
    </row>
    <row r="84" spans="7:10" ht="13.5">
      <c r="G84" s="113"/>
      <c r="H84" s="83"/>
      <c r="I84" s="23"/>
      <c r="J84" s="6"/>
    </row>
    <row r="85" spans="7:10" ht="13.5">
      <c r="G85" s="113"/>
      <c r="H85" s="83"/>
      <c r="I85" s="23"/>
      <c r="J85" s="6"/>
    </row>
    <row r="86" spans="7:10" ht="13.5">
      <c r="G86" s="113"/>
      <c r="H86" s="83"/>
      <c r="I86" s="23"/>
      <c r="J86" s="6"/>
    </row>
    <row r="87" spans="7:10" ht="13.5">
      <c r="G87" s="113"/>
      <c r="H87" s="83"/>
      <c r="I87" s="23"/>
      <c r="J87" s="6"/>
    </row>
    <row r="88" spans="7:10" ht="13.5">
      <c r="G88" s="113"/>
      <c r="H88" s="83"/>
      <c r="I88" s="23"/>
      <c r="J88" s="6"/>
    </row>
    <row r="89" spans="7:10" ht="13.5">
      <c r="G89" s="113"/>
      <c r="H89" s="83"/>
      <c r="I89" s="23"/>
      <c r="J89" s="6"/>
    </row>
    <row r="90" spans="7:10" ht="13.5">
      <c r="G90" s="113"/>
      <c r="H90" s="83"/>
      <c r="I90" s="23"/>
      <c r="J90" s="6"/>
    </row>
    <row r="91" spans="7:10" ht="13.5">
      <c r="G91" s="113"/>
      <c r="H91" s="83"/>
      <c r="I91" s="23"/>
      <c r="J91" s="6"/>
    </row>
    <row r="92" spans="7:10" ht="13.5">
      <c r="G92" s="113"/>
      <c r="H92" s="83"/>
      <c r="I92" s="23"/>
      <c r="J92" s="6"/>
    </row>
    <row r="93" spans="7:10" ht="13.5">
      <c r="G93" s="113"/>
      <c r="H93" s="83"/>
      <c r="I93" s="23"/>
      <c r="J93" s="6"/>
    </row>
    <row r="94" spans="7:10" ht="13.5">
      <c r="G94" s="113"/>
      <c r="H94" s="83"/>
      <c r="I94" s="23"/>
      <c r="J94" s="6"/>
    </row>
    <row r="95" spans="7:10" ht="13.5">
      <c r="G95" s="113"/>
      <c r="H95" s="83"/>
      <c r="I95" s="23"/>
      <c r="J95" s="6"/>
    </row>
    <row r="96" spans="7:10" ht="13.5">
      <c r="G96" s="113"/>
      <c r="H96" s="83"/>
      <c r="I96" s="23"/>
      <c r="J96" s="6"/>
    </row>
    <row r="97" spans="7:10" ht="13.5">
      <c r="G97" s="113"/>
      <c r="H97" s="83"/>
      <c r="I97" s="23"/>
      <c r="J97" s="6"/>
    </row>
    <row r="98" spans="7:10" ht="13.5">
      <c r="G98" s="113"/>
      <c r="H98" s="83"/>
      <c r="I98" s="23"/>
      <c r="J98" s="6"/>
    </row>
    <row r="99" spans="7:10" ht="13.5">
      <c r="G99" s="113"/>
      <c r="H99" s="83"/>
      <c r="I99" s="23"/>
      <c r="J99" s="6"/>
    </row>
    <row r="100" spans="7:10" ht="13.5">
      <c r="G100" s="113"/>
      <c r="H100" s="83"/>
      <c r="I100" s="23"/>
      <c r="J100" s="6"/>
    </row>
    <row r="101" spans="7:10" ht="13.5">
      <c r="G101" s="113"/>
      <c r="H101" s="83"/>
      <c r="I101" s="23"/>
      <c r="J101" s="6"/>
    </row>
    <row r="102" spans="7:10" ht="13.5">
      <c r="G102" s="113"/>
      <c r="H102" s="83"/>
      <c r="I102" s="23"/>
      <c r="J102" s="6"/>
    </row>
  </sheetData>
  <sortState xmlns:xlrd2="http://schemas.microsoft.com/office/spreadsheetml/2017/richdata2" ref="G3:J14">
    <sortCondition descending="1" ref="G3"/>
  </sortState>
  <mergeCells count="1">
    <mergeCell ref="B1:C1"/>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2" r:id="rId4" name="Button 2">
              <controlPr defaultSize="0" print="0" autoFill="0" autoPict="0" macro="[0]!Y軸へ">
                <anchor>
                  <from>
                    <xdr:col>9</xdr:col>
                    <xdr:colOff>800100</xdr:colOff>
                    <xdr:row>0</xdr:row>
                    <xdr:rowOff>19050</xdr:rowOff>
                  </from>
                  <to>
                    <xdr:col>9</xdr:col>
                    <xdr:colOff>1466850</xdr:colOff>
                    <xdr:row>0</xdr:row>
                    <xdr:rowOff>342900</xdr:rowOff>
                  </to>
                </anchor>
              </controlPr>
            </control>
          </mc:Choice>
        </mc:AlternateContent>
        <mc:AlternateContent xmlns:mc="http://schemas.openxmlformats.org/markup-compatibility/2006">
          <mc:Choice Requires="x14">
            <control shapeId="71688" r:id="rId5" name="Button 8">
              <controlPr defaultSize="0" print="0" autoFill="0" autoPict="0" macro="[0]!手順書へ">
                <anchor>
                  <from>
                    <xdr:col>9</xdr:col>
                    <xdr:colOff>1485900</xdr:colOff>
                    <xdr:row>0</xdr:row>
                    <xdr:rowOff>19050</xdr:rowOff>
                  </from>
                  <to>
                    <xdr:col>10</xdr:col>
                    <xdr:colOff>209550</xdr:colOff>
                    <xdr:row>0</xdr:row>
                    <xdr:rowOff>342900</xdr:rowOff>
                  </to>
                </anchor>
              </controlPr>
            </control>
          </mc:Choice>
        </mc:AlternateContent>
        <mc:AlternateContent xmlns:mc="http://schemas.openxmlformats.org/markup-compatibility/2006">
          <mc:Choice Requires="x14">
            <control shapeId="71689" r:id="rId6" name="Button 9">
              <controlPr defaultSize="0" print="0" autoFill="0" autoPict="0" macro="[0]!Rotoへ">
                <anchor>
                  <from>
                    <xdr:col>8</xdr:col>
                    <xdr:colOff>638175</xdr:colOff>
                    <xdr:row>0</xdr:row>
                    <xdr:rowOff>19050</xdr:rowOff>
                  </from>
                  <to>
                    <xdr:col>8</xdr:col>
                    <xdr:colOff>1676400</xdr:colOff>
                    <xdr:row>0</xdr:row>
                    <xdr:rowOff>342900</xdr:rowOff>
                  </to>
                </anchor>
              </controlPr>
            </control>
          </mc:Choice>
        </mc:AlternateContent>
        <mc:AlternateContent xmlns:mc="http://schemas.openxmlformats.org/markup-compatibility/2006">
          <mc:Choice Requires="x14">
            <control shapeId="71690" r:id="rId7" name="Button 10">
              <controlPr defaultSize="0" print="0" autoFill="0" autoPict="0" macro="[0]!Rotoグラフ回転後">
                <anchor>
                  <from>
                    <xdr:col>5</xdr:col>
                    <xdr:colOff>47625</xdr:colOff>
                    <xdr:row>0</xdr:row>
                    <xdr:rowOff>19050</xdr:rowOff>
                  </from>
                  <to>
                    <xdr:col>8</xdr:col>
                    <xdr:colOff>628650</xdr:colOff>
                    <xdr:row>0</xdr:row>
                    <xdr:rowOff>342900</xdr:rowOff>
                  </to>
                </anchor>
              </controlPr>
            </control>
          </mc:Choice>
        </mc:AlternateContent>
        <mc:AlternateContent xmlns:mc="http://schemas.openxmlformats.org/markup-compatibility/2006">
          <mc:Choice Requires="x14">
            <control shapeId="71691" r:id="rId8" name="Button 11">
              <controlPr defaultSize="0" print="0" autoFill="0" autoPict="0" macro="[0]!Rotocへ">
                <anchor>
                  <from>
                    <xdr:col>8</xdr:col>
                    <xdr:colOff>1695450</xdr:colOff>
                    <xdr:row>0</xdr:row>
                    <xdr:rowOff>19050</xdr:rowOff>
                  </from>
                  <to>
                    <xdr:col>9</xdr:col>
                    <xdr:colOff>781050</xdr:colOff>
                    <xdr:row>0</xdr:row>
                    <xdr:rowOff>342900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J102"/>
  <sheetViews>
    <sheetView zoomScaleNormal="100" workbookViewId="0">
      <selection activeCell="B1" sqref="B1:C1"/>
    </sheetView>
  </sheetViews>
  <sheetFormatPr defaultColWidth="9.140625" defaultRowHeight="12"/>
  <cols>
    <col min="1" max="1" width="6.5703125" style="1" bestFit="1" customWidth="1"/>
    <col min="2" max="2" width="7.5703125" style="3" bestFit="1" customWidth="1"/>
    <col min="3" max="3" width="15.28515625" style="1" bestFit="1" customWidth="1"/>
    <col min="4" max="4" width="30.140625" style="24" customWidth="1"/>
    <col min="5" max="5" width="30.7109375" style="3" customWidth="1"/>
    <col min="6" max="6" width="3.5703125" style="4" bestFit="1" customWidth="1"/>
    <col min="7" max="7" width="7.5703125" style="3" bestFit="1" customWidth="1"/>
    <col min="8" max="8" width="13.85546875" style="1" bestFit="1" customWidth="1"/>
    <col min="9" max="9" width="30.140625" style="24" customWidth="1"/>
    <col min="10" max="10" width="30.7109375" style="3" customWidth="1"/>
    <col min="11" max="16384" width="9.140625" style="3"/>
  </cols>
  <sheetData>
    <row r="1" spans="1:10" ht="27.75" customHeight="1" thickBot="1">
      <c r="A1" s="104">
        <f>MAX(B$3:B$200)</f>
        <v>0.61969678774390125</v>
      </c>
      <c r="B1" s="154" t="s">
        <v>80</v>
      </c>
      <c r="C1" s="155"/>
      <c r="D1" s="100" t="s">
        <v>76</v>
      </c>
      <c r="E1" s="101" t="s">
        <v>77</v>
      </c>
      <c r="F1" s="118">
        <f>MAX(G$3:G$200)</f>
        <v>1.8767057215569853</v>
      </c>
      <c r="G1" s="102"/>
      <c r="H1" s="103"/>
      <c r="I1" s="100"/>
      <c r="J1" s="101"/>
    </row>
    <row r="2" spans="1:10" ht="26.25" customHeight="1" thickBot="1">
      <c r="A2" s="105">
        <f>MAX(-MIN(B$3:B$200),A1)</f>
        <v>0.61969678774390125</v>
      </c>
      <c r="B2" s="19" t="s">
        <v>81</v>
      </c>
      <c r="C2" s="20" t="s">
        <v>43</v>
      </c>
      <c r="D2" s="22" t="s">
        <v>78</v>
      </c>
      <c r="E2" s="21" t="s">
        <v>79</v>
      </c>
      <c r="F2" s="118">
        <f>MAX(-MIN(G$3:G$200),F1)</f>
        <v>2.1542983612536513</v>
      </c>
      <c r="G2" s="19" t="s">
        <v>81</v>
      </c>
      <c r="H2" s="20" t="s">
        <v>42</v>
      </c>
      <c r="I2" s="22" t="s">
        <v>78</v>
      </c>
      <c r="J2" s="21" t="s">
        <v>79</v>
      </c>
    </row>
    <row r="3" spans="1:10" ht="13.5">
      <c r="A3" s="80">
        <v>1</v>
      </c>
      <c r="B3" s="2">
        <v>0.61969678774390125</v>
      </c>
      <c r="C3" s="121" t="s">
        <v>153</v>
      </c>
      <c r="D3" s="23" t="s">
        <v>51</v>
      </c>
      <c r="E3" s="6" t="s">
        <v>172</v>
      </c>
      <c r="F3" s="4">
        <v>1</v>
      </c>
      <c r="G3" s="2">
        <v>1.8767057215569853</v>
      </c>
      <c r="H3" s="83" t="s">
        <v>161</v>
      </c>
      <c r="I3" s="23" t="s">
        <v>51</v>
      </c>
      <c r="J3" s="6" t="s">
        <v>171</v>
      </c>
    </row>
    <row r="4" spans="1:10" ht="13.5">
      <c r="A4" s="80">
        <v>2</v>
      </c>
      <c r="B4" s="2">
        <v>0.46927859475786127</v>
      </c>
      <c r="C4" s="121" t="s">
        <v>154</v>
      </c>
      <c r="D4" s="23" t="s">
        <v>51</v>
      </c>
      <c r="E4" s="6" t="s">
        <v>170</v>
      </c>
      <c r="F4" s="4">
        <v>2</v>
      </c>
      <c r="G4" s="2">
        <v>1.3542590482775674</v>
      </c>
      <c r="H4" s="83" t="s">
        <v>158</v>
      </c>
      <c r="I4" s="23" t="s">
        <v>51</v>
      </c>
      <c r="J4" s="6" t="s">
        <v>175</v>
      </c>
    </row>
    <row r="5" spans="1:10" ht="13.5">
      <c r="A5" s="80">
        <v>3</v>
      </c>
      <c r="B5" s="2">
        <v>0.33125433332736354</v>
      </c>
      <c r="C5" s="121" t="s">
        <v>150</v>
      </c>
      <c r="D5" s="23" t="s">
        <v>51</v>
      </c>
      <c r="E5" s="6" t="s">
        <v>169</v>
      </c>
      <c r="F5" s="4">
        <v>3</v>
      </c>
      <c r="G5" s="2">
        <v>0.91008205084194982</v>
      </c>
      <c r="H5" s="83" t="s">
        <v>164</v>
      </c>
      <c r="I5" s="23" t="s">
        <v>51</v>
      </c>
      <c r="J5" s="6" t="s">
        <v>177</v>
      </c>
    </row>
    <row r="6" spans="1:10" ht="13.5">
      <c r="A6" s="80">
        <v>4</v>
      </c>
      <c r="B6" s="2">
        <v>0.15351013962073173</v>
      </c>
      <c r="C6" s="121" t="s">
        <v>148</v>
      </c>
      <c r="D6" s="23" t="s">
        <v>51</v>
      </c>
      <c r="E6" s="6" t="s">
        <v>167</v>
      </c>
      <c r="F6" s="4">
        <v>4</v>
      </c>
      <c r="G6" s="2">
        <v>0.59491561443336094</v>
      </c>
      <c r="H6" s="83" t="s">
        <v>166</v>
      </c>
      <c r="I6" s="23" t="s">
        <v>51</v>
      </c>
      <c r="J6" s="6" t="s">
        <v>178</v>
      </c>
    </row>
    <row r="7" spans="1:10" ht="13.5">
      <c r="A7" s="80">
        <v>5</v>
      </c>
      <c r="B7" s="2">
        <v>-0.12880757911074303</v>
      </c>
      <c r="C7" s="121" t="s">
        <v>149</v>
      </c>
      <c r="D7" s="23" t="s">
        <v>168</v>
      </c>
      <c r="E7" s="6" t="s">
        <v>51</v>
      </c>
      <c r="F7" s="4">
        <v>5</v>
      </c>
      <c r="G7" s="2">
        <v>0.40603342044319168</v>
      </c>
      <c r="H7" s="83" t="s">
        <v>157</v>
      </c>
      <c r="I7" s="23" t="s">
        <v>51</v>
      </c>
      <c r="J7" s="6" t="s">
        <v>174</v>
      </c>
    </row>
    <row r="8" spans="1:10" ht="13.5">
      <c r="A8" s="80">
        <v>6</v>
      </c>
      <c r="B8" s="2">
        <v>-0.46442314752572661</v>
      </c>
      <c r="C8" s="121" t="s">
        <v>151</v>
      </c>
      <c r="D8" s="23" t="s">
        <v>170</v>
      </c>
      <c r="E8" s="6" t="s">
        <v>51</v>
      </c>
      <c r="F8" s="4">
        <v>6</v>
      </c>
      <c r="G8" s="2">
        <v>0.37942539717939494</v>
      </c>
      <c r="H8" s="83" t="s">
        <v>159</v>
      </c>
      <c r="I8" s="23" t="s">
        <v>51</v>
      </c>
      <c r="J8" s="6" t="s">
        <v>174</v>
      </c>
    </row>
    <row r="9" spans="1:10" ht="13.5">
      <c r="A9" s="80">
        <v>7</v>
      </c>
      <c r="B9" s="2">
        <v>-0.55289329377996543</v>
      </c>
      <c r="C9" s="121" t="s">
        <v>152</v>
      </c>
      <c r="D9" s="23" t="s">
        <v>171</v>
      </c>
      <c r="E9" s="6" t="s">
        <v>51</v>
      </c>
      <c r="F9" s="4">
        <v>7</v>
      </c>
      <c r="G9" s="2">
        <v>4.9256654815016301E-2</v>
      </c>
      <c r="H9" s="83" t="s">
        <v>156</v>
      </c>
      <c r="I9" s="23" t="s">
        <v>51</v>
      </c>
      <c r="J9" s="6" t="s">
        <v>51</v>
      </c>
    </row>
    <row r="10" spans="1:10" ht="13.5">
      <c r="A10" s="80"/>
      <c r="B10" s="2"/>
      <c r="C10" s="121"/>
      <c r="D10" s="23"/>
      <c r="E10" s="6"/>
      <c r="F10" s="4">
        <v>8</v>
      </c>
      <c r="G10" s="2">
        <v>-0.26938842994307127</v>
      </c>
      <c r="H10" s="83" t="s">
        <v>160</v>
      </c>
      <c r="I10" s="23" t="s">
        <v>176</v>
      </c>
      <c r="J10" s="6" t="s">
        <v>51</v>
      </c>
    </row>
    <row r="11" spans="1:10" ht="13.5">
      <c r="A11" s="84"/>
      <c r="B11" s="2"/>
      <c r="C11" s="119"/>
      <c r="D11" s="23"/>
      <c r="E11" s="6"/>
      <c r="F11" s="4">
        <v>9</v>
      </c>
      <c r="G11" s="2">
        <v>-0.69718392805622997</v>
      </c>
      <c r="H11" s="83" t="s">
        <v>155</v>
      </c>
      <c r="I11" s="23" t="s">
        <v>173</v>
      </c>
      <c r="J11" s="6" t="s">
        <v>51</v>
      </c>
    </row>
    <row r="12" spans="1:10" ht="13.5">
      <c r="A12" s="84"/>
      <c r="B12" s="2"/>
      <c r="C12" s="119"/>
      <c r="D12" s="23"/>
      <c r="E12" s="6"/>
      <c r="F12" s="4">
        <v>10</v>
      </c>
      <c r="G12" s="2">
        <v>-0.86694599804515837</v>
      </c>
      <c r="H12" s="83" t="s">
        <v>165</v>
      </c>
      <c r="I12" s="23" t="s">
        <v>177</v>
      </c>
      <c r="J12" s="6" t="s">
        <v>51</v>
      </c>
    </row>
    <row r="13" spans="1:10" ht="13.5">
      <c r="A13" s="84"/>
      <c r="B13" s="2"/>
      <c r="C13" s="119"/>
      <c r="D13" s="23"/>
      <c r="E13" s="6"/>
      <c r="F13" s="4">
        <v>11</v>
      </c>
      <c r="G13" s="2">
        <v>-1.5828611902493677</v>
      </c>
      <c r="H13" s="83" t="s">
        <v>162</v>
      </c>
      <c r="I13" s="23" t="s">
        <v>170</v>
      </c>
      <c r="J13" s="6" t="s">
        <v>51</v>
      </c>
    </row>
    <row r="14" spans="1:10" ht="13.5">
      <c r="A14" s="84"/>
      <c r="B14" s="2"/>
      <c r="C14" s="119"/>
      <c r="D14" s="23"/>
      <c r="E14" s="6"/>
      <c r="F14" s="4">
        <v>12</v>
      </c>
      <c r="G14" s="2">
        <v>-2.1542983612536513</v>
      </c>
      <c r="H14" s="83" t="s">
        <v>163</v>
      </c>
      <c r="I14" s="23" t="s">
        <v>172</v>
      </c>
      <c r="J14" s="6" t="s">
        <v>51</v>
      </c>
    </row>
    <row r="15" spans="1:10" ht="13.5">
      <c r="A15" s="84"/>
      <c r="B15" s="2"/>
      <c r="C15" s="119"/>
      <c r="D15" s="23"/>
      <c r="E15" s="6"/>
      <c r="G15" s="2"/>
      <c r="H15" s="83"/>
      <c r="I15" s="23"/>
      <c r="J15" s="6"/>
    </row>
    <row r="16" spans="1:10" ht="13.5">
      <c r="A16" s="84"/>
      <c r="B16" s="2"/>
      <c r="C16" s="119"/>
      <c r="D16" s="23"/>
      <c r="E16" s="6"/>
      <c r="G16" s="2"/>
      <c r="H16" s="83"/>
      <c r="I16" s="23"/>
      <c r="J16" s="6"/>
    </row>
    <row r="17" spans="1:10" ht="13.5">
      <c r="A17" s="84"/>
      <c r="B17" s="2"/>
      <c r="C17" s="119"/>
      <c r="D17" s="23"/>
      <c r="E17" s="6"/>
      <c r="G17" s="2"/>
      <c r="H17" s="83"/>
      <c r="I17" s="23"/>
      <c r="J17" s="6"/>
    </row>
    <row r="18" spans="1:10" ht="13.5">
      <c r="A18" s="84"/>
      <c r="B18" s="2"/>
      <c r="C18" s="119"/>
      <c r="D18" s="23"/>
      <c r="E18" s="6"/>
      <c r="G18" s="2"/>
      <c r="H18" s="83"/>
      <c r="I18" s="23"/>
      <c r="J18" s="6"/>
    </row>
    <row r="19" spans="1:10" ht="13.5">
      <c r="A19" s="84"/>
      <c r="B19" s="2"/>
      <c r="C19" s="119"/>
      <c r="D19" s="23"/>
      <c r="E19" s="6"/>
      <c r="G19" s="2"/>
      <c r="H19" s="83"/>
      <c r="I19" s="23"/>
      <c r="J19" s="6"/>
    </row>
    <row r="20" spans="1:10" ht="13.5">
      <c r="A20" s="84"/>
      <c r="B20" s="2"/>
      <c r="C20" s="119"/>
      <c r="D20" s="23"/>
      <c r="E20" s="6"/>
      <c r="G20" s="2"/>
      <c r="H20" s="83"/>
      <c r="I20" s="23"/>
      <c r="J20" s="6"/>
    </row>
    <row r="21" spans="1:10" ht="13.5">
      <c r="A21" s="84"/>
      <c r="B21" s="2"/>
      <c r="C21" s="119"/>
      <c r="D21" s="23"/>
      <c r="E21" s="6"/>
      <c r="G21" s="2"/>
      <c r="H21" s="83"/>
      <c r="I21" s="23"/>
      <c r="J21" s="6"/>
    </row>
    <row r="22" spans="1:10" ht="13.5">
      <c r="A22" s="84"/>
      <c r="B22" s="2"/>
      <c r="C22" s="119"/>
      <c r="D22" s="23"/>
      <c r="E22" s="6"/>
      <c r="G22" s="2"/>
      <c r="H22" s="83"/>
      <c r="I22" s="23"/>
      <c r="J22" s="6"/>
    </row>
    <row r="23" spans="1:10" ht="13.5">
      <c r="A23" s="84"/>
      <c r="B23" s="2"/>
      <c r="C23" s="119"/>
      <c r="D23" s="23"/>
      <c r="E23" s="6"/>
      <c r="G23" s="2"/>
      <c r="H23" s="83"/>
      <c r="I23" s="23"/>
      <c r="J23" s="6"/>
    </row>
    <row r="24" spans="1:10" ht="13.5">
      <c r="A24" s="84"/>
      <c r="B24" s="2"/>
      <c r="C24" s="119"/>
      <c r="D24" s="23"/>
      <c r="E24" s="6"/>
      <c r="G24" s="2"/>
      <c r="H24" s="83"/>
      <c r="I24" s="23"/>
      <c r="J24" s="6"/>
    </row>
    <row r="25" spans="1:10" ht="13.5">
      <c r="A25" s="84"/>
      <c r="B25" s="2"/>
      <c r="C25" s="119"/>
      <c r="D25" s="23"/>
      <c r="E25" s="6"/>
      <c r="G25" s="2"/>
      <c r="H25" s="83"/>
      <c r="I25" s="23"/>
      <c r="J25" s="6"/>
    </row>
    <row r="26" spans="1:10" ht="13.5">
      <c r="A26" s="84"/>
      <c r="B26" s="2"/>
      <c r="C26" s="119"/>
      <c r="D26" s="23"/>
      <c r="E26" s="6"/>
      <c r="G26" s="2"/>
      <c r="H26" s="83"/>
      <c r="I26" s="23"/>
      <c r="J26" s="6"/>
    </row>
    <row r="27" spans="1:10" ht="13.5">
      <c r="A27" s="84"/>
      <c r="B27" s="2"/>
      <c r="C27" s="119"/>
      <c r="D27" s="23"/>
      <c r="E27" s="6"/>
      <c r="G27" s="2"/>
      <c r="H27" s="83"/>
      <c r="I27" s="23"/>
      <c r="J27" s="6"/>
    </row>
    <row r="28" spans="1:10" ht="13.5">
      <c r="B28" s="2"/>
      <c r="C28" s="83"/>
      <c r="D28" s="23"/>
      <c r="E28" s="6"/>
      <c r="G28" s="2"/>
      <c r="H28" s="83"/>
      <c r="I28" s="23"/>
      <c r="J28" s="6"/>
    </row>
    <row r="29" spans="1:10" ht="13.5">
      <c r="B29" s="2"/>
      <c r="C29" s="83"/>
      <c r="D29" s="23"/>
      <c r="E29" s="6"/>
      <c r="G29" s="2"/>
      <c r="H29" s="83"/>
      <c r="I29" s="23"/>
      <c r="J29" s="6"/>
    </row>
    <row r="30" spans="1:10" ht="13.5">
      <c r="B30" s="2"/>
      <c r="C30" s="83"/>
      <c r="D30" s="23"/>
      <c r="E30" s="6"/>
      <c r="G30" s="2"/>
      <c r="H30" s="83"/>
      <c r="I30" s="23"/>
      <c r="J30" s="6"/>
    </row>
    <row r="31" spans="1:10" ht="13.5">
      <c r="B31" s="2"/>
      <c r="C31" s="83"/>
      <c r="D31" s="23"/>
      <c r="E31" s="6"/>
      <c r="G31" s="2"/>
      <c r="H31" s="83"/>
      <c r="I31" s="23"/>
      <c r="J31" s="6"/>
    </row>
    <row r="32" spans="1:10" ht="13.5">
      <c r="B32" s="2"/>
      <c r="C32" s="83"/>
      <c r="D32" s="23"/>
      <c r="E32" s="6"/>
      <c r="G32" s="2"/>
      <c r="H32" s="83"/>
      <c r="I32" s="23"/>
      <c r="J32" s="6"/>
    </row>
    <row r="33" spans="2:10" ht="13.5">
      <c r="B33" s="2"/>
      <c r="C33" s="83"/>
      <c r="D33" s="23"/>
      <c r="E33" s="6"/>
      <c r="G33" s="2"/>
      <c r="H33" s="83"/>
      <c r="I33" s="23"/>
      <c r="J33" s="6"/>
    </row>
    <row r="34" spans="2:10" ht="13.5">
      <c r="B34" s="2"/>
      <c r="C34" s="83"/>
      <c r="D34" s="23"/>
      <c r="E34" s="6"/>
      <c r="G34" s="2"/>
      <c r="H34" s="83"/>
      <c r="I34" s="23"/>
      <c r="J34" s="6"/>
    </row>
    <row r="35" spans="2:10" ht="13.5">
      <c r="B35" s="2"/>
      <c r="C35" s="83"/>
      <c r="D35" s="23"/>
      <c r="E35" s="6"/>
      <c r="G35" s="2"/>
      <c r="H35" s="83"/>
      <c r="I35" s="23"/>
      <c r="J35" s="6"/>
    </row>
    <row r="36" spans="2:10" ht="13.5">
      <c r="B36" s="2"/>
      <c r="C36" s="83"/>
      <c r="D36" s="23"/>
      <c r="E36" s="6"/>
      <c r="G36" s="2"/>
      <c r="H36" s="83"/>
      <c r="I36" s="23"/>
      <c r="J36" s="6"/>
    </row>
    <row r="37" spans="2:10" ht="13.5">
      <c r="B37" s="2"/>
      <c r="C37" s="83"/>
      <c r="D37" s="23"/>
      <c r="E37" s="6"/>
      <c r="G37" s="2"/>
      <c r="H37" s="83"/>
      <c r="I37" s="23"/>
      <c r="J37" s="6"/>
    </row>
    <row r="38" spans="2:10" ht="13.5">
      <c r="B38" s="2"/>
      <c r="C38" s="83"/>
      <c r="D38" s="23"/>
      <c r="E38" s="6"/>
      <c r="G38" s="2"/>
      <c r="H38" s="83"/>
      <c r="I38" s="23"/>
      <c r="J38" s="6"/>
    </row>
    <row r="39" spans="2:10" ht="13.5">
      <c r="B39" s="2"/>
      <c r="C39" s="83"/>
      <c r="D39" s="23"/>
      <c r="E39" s="6"/>
      <c r="G39" s="2"/>
      <c r="H39" s="83"/>
      <c r="I39" s="23"/>
      <c r="J39" s="6"/>
    </row>
    <row r="40" spans="2:10" ht="13.5">
      <c r="B40" s="2"/>
      <c r="D40" s="23"/>
      <c r="E40" s="6"/>
      <c r="G40" s="2"/>
      <c r="H40" s="83"/>
      <c r="I40" s="23"/>
      <c r="J40" s="6"/>
    </row>
    <row r="41" spans="2:10" ht="13.5">
      <c r="B41" s="2"/>
      <c r="D41" s="23"/>
      <c r="E41" s="6"/>
      <c r="G41" s="2"/>
      <c r="H41" s="83"/>
      <c r="I41" s="23"/>
      <c r="J41" s="6"/>
    </row>
    <row r="42" spans="2:10" ht="13.5">
      <c r="B42" s="2"/>
      <c r="D42" s="23"/>
      <c r="E42" s="6"/>
      <c r="G42" s="2"/>
      <c r="H42" s="83"/>
      <c r="I42" s="23"/>
      <c r="J42" s="6"/>
    </row>
    <row r="43" spans="2:10" ht="13.5">
      <c r="B43" s="2"/>
      <c r="C43" s="80"/>
      <c r="D43" s="23"/>
      <c r="E43" s="6"/>
      <c r="G43" s="2"/>
      <c r="H43" s="83"/>
      <c r="I43" s="23"/>
      <c r="J43" s="6"/>
    </row>
    <row r="44" spans="2:10" ht="13.5">
      <c r="B44" s="2"/>
      <c r="D44" s="23"/>
      <c r="E44" s="6"/>
      <c r="G44" s="2"/>
      <c r="H44" s="83"/>
      <c r="I44" s="23"/>
      <c r="J44" s="6"/>
    </row>
    <row r="45" spans="2:10" ht="13.5">
      <c r="B45" s="2"/>
      <c r="D45" s="23"/>
      <c r="E45" s="6"/>
      <c r="G45" s="2"/>
      <c r="H45" s="83"/>
      <c r="I45" s="23"/>
      <c r="J45" s="6"/>
    </row>
    <row r="46" spans="2:10" ht="13.5">
      <c r="B46" s="2"/>
      <c r="D46" s="23"/>
      <c r="E46" s="6"/>
      <c r="G46" s="2"/>
      <c r="H46" s="83"/>
      <c r="I46" s="23"/>
      <c r="J46" s="6"/>
    </row>
    <row r="47" spans="2:10" ht="13.5">
      <c r="B47" s="2"/>
      <c r="D47" s="23"/>
      <c r="E47" s="6"/>
      <c r="G47" s="2"/>
      <c r="H47" s="83"/>
      <c r="I47" s="23"/>
      <c r="J47" s="6"/>
    </row>
    <row r="48" spans="2:10" ht="13.5">
      <c r="B48" s="2"/>
      <c r="D48" s="23"/>
      <c r="E48" s="6"/>
      <c r="G48" s="2"/>
      <c r="H48" s="83"/>
      <c r="I48" s="23"/>
      <c r="J48" s="6"/>
    </row>
    <row r="49" spans="2:10" ht="13.5">
      <c r="B49" s="2"/>
      <c r="C49" s="80"/>
      <c r="D49" s="23"/>
      <c r="E49" s="6"/>
      <c r="G49" s="2"/>
      <c r="H49" s="83"/>
      <c r="I49" s="23"/>
      <c r="J49" s="6"/>
    </row>
    <row r="50" spans="2:10" ht="13.5">
      <c r="B50" s="2"/>
      <c r="D50" s="23"/>
      <c r="E50" s="6"/>
      <c r="G50" s="2"/>
      <c r="H50" s="83"/>
      <c r="I50" s="23"/>
      <c r="J50" s="6"/>
    </row>
    <row r="51" spans="2:10" ht="13.5">
      <c r="B51" s="2"/>
      <c r="D51" s="23"/>
      <c r="E51" s="6"/>
      <c r="G51" s="2"/>
      <c r="H51" s="83"/>
      <c r="I51" s="23"/>
      <c r="J51" s="6"/>
    </row>
    <row r="52" spans="2:10" ht="13.5">
      <c r="B52" s="2"/>
      <c r="D52" s="23"/>
      <c r="E52" s="6"/>
      <c r="G52" s="2"/>
      <c r="H52" s="83"/>
      <c r="I52" s="23"/>
      <c r="J52" s="6"/>
    </row>
    <row r="53" spans="2:10" ht="13.5">
      <c r="B53" s="2"/>
      <c r="D53" s="23"/>
      <c r="E53" s="6"/>
      <c r="G53" s="2"/>
      <c r="H53" s="83"/>
      <c r="I53" s="23"/>
      <c r="J53" s="6"/>
    </row>
    <row r="54" spans="2:10" ht="13.5">
      <c r="B54" s="2"/>
      <c r="C54" s="80"/>
      <c r="D54" s="23"/>
      <c r="E54" s="6"/>
      <c r="G54" s="2"/>
      <c r="H54" s="83"/>
      <c r="I54" s="23"/>
      <c r="J54" s="6"/>
    </row>
    <row r="55" spans="2:10" ht="13.5">
      <c r="B55" s="2"/>
      <c r="D55" s="23"/>
      <c r="E55" s="6"/>
      <c r="G55" s="2"/>
      <c r="H55" s="83"/>
      <c r="I55" s="23"/>
      <c r="J55" s="6"/>
    </row>
    <row r="56" spans="2:10" ht="13.5">
      <c r="B56" s="2"/>
      <c r="D56" s="23"/>
      <c r="E56" s="6"/>
      <c r="G56" s="2"/>
      <c r="H56" s="83"/>
      <c r="I56" s="23"/>
      <c r="J56" s="6"/>
    </row>
    <row r="57" spans="2:10" ht="13.5">
      <c r="B57" s="2"/>
      <c r="D57" s="23"/>
      <c r="E57" s="6"/>
      <c r="G57" s="2"/>
      <c r="H57" s="83"/>
      <c r="I57" s="23"/>
      <c r="J57" s="6"/>
    </row>
    <row r="58" spans="2:10" ht="13.5">
      <c r="B58" s="2"/>
      <c r="D58" s="23"/>
      <c r="E58" s="6"/>
      <c r="G58" s="2"/>
      <c r="H58" s="83"/>
      <c r="I58" s="23"/>
      <c r="J58" s="6"/>
    </row>
    <row r="59" spans="2:10" ht="13.5">
      <c r="B59" s="2"/>
      <c r="D59" s="23"/>
      <c r="E59" s="6"/>
      <c r="G59" s="2"/>
      <c r="H59" s="83"/>
      <c r="I59" s="23"/>
      <c r="J59" s="6"/>
    </row>
    <row r="60" spans="2:10" ht="13.5">
      <c r="B60" s="2"/>
      <c r="D60" s="23"/>
      <c r="E60" s="6"/>
      <c r="G60" s="2"/>
      <c r="H60" s="83"/>
      <c r="I60" s="23"/>
      <c r="J60" s="6"/>
    </row>
    <row r="61" spans="2:10" ht="13.5">
      <c r="B61" s="2"/>
      <c r="D61" s="23"/>
      <c r="E61" s="6"/>
      <c r="G61" s="2"/>
      <c r="H61" s="83"/>
      <c r="I61" s="23"/>
      <c r="J61" s="6"/>
    </row>
    <row r="62" spans="2:10" ht="13.5">
      <c r="B62" s="2"/>
      <c r="D62" s="23"/>
      <c r="E62" s="6"/>
      <c r="G62" s="2"/>
      <c r="H62" s="83"/>
      <c r="I62" s="23"/>
      <c r="J62" s="6"/>
    </row>
    <row r="63" spans="2:10" ht="13.5">
      <c r="B63" s="2"/>
      <c r="D63" s="23"/>
      <c r="E63" s="6"/>
      <c r="G63" s="2"/>
      <c r="H63" s="83"/>
      <c r="I63" s="23"/>
      <c r="J63" s="6"/>
    </row>
    <row r="64" spans="2:10" ht="13.5">
      <c r="B64" s="2"/>
      <c r="D64" s="23"/>
      <c r="E64" s="6"/>
      <c r="G64" s="2"/>
      <c r="H64" s="83"/>
      <c r="I64" s="23"/>
      <c r="J64" s="6"/>
    </row>
    <row r="65" spans="2:10" ht="13.5">
      <c r="B65" s="2"/>
      <c r="D65" s="23"/>
      <c r="E65" s="6"/>
      <c r="G65" s="2"/>
      <c r="H65" s="83"/>
      <c r="I65" s="23"/>
      <c r="J65" s="6"/>
    </row>
    <row r="66" spans="2:10" ht="13.5">
      <c r="B66" s="2"/>
      <c r="D66" s="23"/>
      <c r="E66" s="6"/>
      <c r="G66" s="2"/>
      <c r="H66" s="83"/>
      <c r="I66" s="23"/>
      <c r="J66" s="6"/>
    </row>
    <row r="67" spans="2:10" ht="13.5">
      <c r="B67" s="2"/>
      <c r="D67" s="23"/>
      <c r="E67" s="6"/>
      <c r="G67" s="2"/>
      <c r="H67" s="83"/>
      <c r="I67" s="23"/>
      <c r="J67" s="6"/>
    </row>
    <row r="68" spans="2:10" ht="13.5">
      <c r="B68" s="2"/>
      <c r="C68" s="80"/>
      <c r="D68" s="23"/>
      <c r="E68" s="6"/>
      <c r="G68" s="2"/>
      <c r="H68" s="83"/>
      <c r="I68" s="23"/>
      <c r="J68" s="6"/>
    </row>
    <row r="69" spans="2:10" ht="13.5">
      <c r="B69" s="2"/>
      <c r="D69" s="23"/>
      <c r="E69" s="6"/>
      <c r="G69" s="2"/>
      <c r="H69" s="83"/>
      <c r="I69" s="23"/>
      <c r="J69" s="6"/>
    </row>
    <row r="70" spans="2:10" ht="13.5">
      <c r="B70" s="2"/>
      <c r="D70" s="23"/>
      <c r="E70" s="6"/>
      <c r="G70" s="2"/>
      <c r="H70" s="83"/>
      <c r="I70" s="23"/>
      <c r="J70" s="6"/>
    </row>
    <row r="71" spans="2:10" ht="13.5">
      <c r="B71" s="2"/>
      <c r="D71" s="23"/>
      <c r="E71" s="6"/>
      <c r="G71" s="2"/>
      <c r="H71" s="83"/>
      <c r="I71" s="23"/>
      <c r="J71" s="6"/>
    </row>
    <row r="72" spans="2:10" ht="13.5">
      <c r="B72" s="2"/>
      <c r="D72" s="23"/>
      <c r="E72" s="6"/>
      <c r="G72" s="2"/>
      <c r="H72" s="83"/>
      <c r="I72" s="23"/>
      <c r="J72" s="6"/>
    </row>
    <row r="73" spans="2:10" ht="13.5">
      <c r="G73" s="2"/>
      <c r="H73" s="83"/>
      <c r="I73" s="23"/>
      <c r="J73" s="6"/>
    </row>
    <row r="74" spans="2:10" ht="13.5">
      <c r="G74" s="2"/>
      <c r="H74" s="83"/>
      <c r="I74" s="23"/>
      <c r="J74" s="6"/>
    </row>
    <row r="75" spans="2:10" ht="13.5">
      <c r="G75" s="2"/>
      <c r="H75" s="83"/>
      <c r="I75" s="23"/>
      <c r="J75" s="6"/>
    </row>
    <row r="76" spans="2:10" ht="13.5">
      <c r="G76" s="2"/>
      <c r="H76" s="83"/>
      <c r="I76" s="23"/>
      <c r="J76" s="6"/>
    </row>
    <row r="77" spans="2:10" ht="13.5">
      <c r="G77" s="2"/>
      <c r="H77" s="83"/>
      <c r="I77" s="23"/>
      <c r="J77" s="6"/>
    </row>
    <row r="78" spans="2:10" ht="13.5">
      <c r="G78" s="2"/>
      <c r="H78" s="83"/>
      <c r="I78" s="23"/>
      <c r="J78" s="6"/>
    </row>
    <row r="79" spans="2:10" ht="13.5">
      <c r="G79" s="2"/>
      <c r="H79" s="83"/>
      <c r="I79" s="23"/>
      <c r="J79" s="6"/>
    </row>
    <row r="80" spans="2:10" ht="13.5">
      <c r="G80" s="2"/>
      <c r="H80" s="83"/>
      <c r="I80" s="23"/>
      <c r="J80" s="6"/>
    </row>
    <row r="81" spans="7:10" ht="13.5">
      <c r="G81" s="2"/>
      <c r="H81" s="83"/>
      <c r="I81" s="23"/>
      <c r="J81" s="6"/>
    </row>
    <row r="82" spans="7:10" ht="13.5">
      <c r="G82" s="2"/>
      <c r="H82" s="83"/>
      <c r="I82" s="23"/>
      <c r="J82" s="6"/>
    </row>
    <row r="83" spans="7:10" ht="13.5">
      <c r="G83" s="2"/>
      <c r="H83" s="83"/>
      <c r="I83" s="23"/>
      <c r="J83" s="6"/>
    </row>
    <row r="84" spans="7:10" ht="13.5">
      <c r="G84" s="2"/>
      <c r="H84" s="83"/>
      <c r="I84" s="23"/>
      <c r="J84" s="6"/>
    </row>
    <row r="85" spans="7:10" ht="13.5">
      <c r="G85" s="2"/>
      <c r="H85" s="83"/>
      <c r="I85" s="23"/>
      <c r="J85" s="6"/>
    </row>
    <row r="86" spans="7:10" ht="13.5">
      <c r="G86" s="2"/>
      <c r="H86" s="83"/>
      <c r="I86" s="23"/>
      <c r="J86" s="6"/>
    </row>
    <row r="87" spans="7:10" ht="13.5">
      <c r="G87" s="2"/>
      <c r="H87" s="83"/>
      <c r="I87" s="23"/>
      <c r="J87" s="6"/>
    </row>
    <row r="88" spans="7:10" ht="13.5">
      <c r="G88" s="2"/>
      <c r="H88" s="83"/>
      <c r="I88" s="23"/>
      <c r="J88" s="6"/>
    </row>
    <row r="89" spans="7:10" ht="13.5">
      <c r="G89" s="2"/>
      <c r="H89" s="83"/>
      <c r="I89" s="23"/>
      <c r="J89" s="6"/>
    </row>
    <row r="90" spans="7:10" ht="13.5">
      <c r="G90" s="2"/>
      <c r="H90" s="83"/>
      <c r="I90" s="23"/>
      <c r="J90" s="6"/>
    </row>
    <row r="91" spans="7:10" ht="13.5">
      <c r="G91" s="2"/>
      <c r="H91" s="83"/>
      <c r="I91" s="23"/>
      <c r="J91" s="6"/>
    </row>
    <row r="92" spans="7:10" ht="13.5">
      <c r="G92" s="2"/>
      <c r="H92" s="83"/>
      <c r="I92" s="23"/>
      <c r="J92" s="6"/>
    </row>
    <row r="93" spans="7:10" ht="13.5">
      <c r="G93" s="2"/>
      <c r="H93" s="83"/>
      <c r="I93" s="23"/>
      <c r="J93" s="6"/>
    </row>
    <row r="94" spans="7:10" ht="13.5">
      <c r="G94" s="2"/>
      <c r="H94" s="83"/>
      <c r="I94" s="23"/>
      <c r="J94" s="6"/>
    </row>
    <row r="95" spans="7:10" ht="13.5">
      <c r="G95" s="2"/>
      <c r="H95" s="83"/>
      <c r="I95" s="23"/>
      <c r="J95" s="6"/>
    </row>
    <row r="96" spans="7:10" ht="13.5">
      <c r="G96" s="2"/>
      <c r="H96" s="83"/>
      <c r="I96" s="23"/>
      <c r="J96" s="6"/>
    </row>
    <row r="97" spans="7:10" ht="13.5">
      <c r="G97" s="2"/>
      <c r="H97" s="83"/>
      <c r="I97" s="23"/>
      <c r="J97" s="6"/>
    </row>
    <row r="98" spans="7:10" ht="13.5">
      <c r="G98" s="2"/>
      <c r="H98" s="83"/>
      <c r="I98" s="23"/>
      <c r="J98" s="6"/>
    </row>
    <row r="99" spans="7:10" ht="13.5">
      <c r="G99" s="2"/>
      <c r="H99" s="83"/>
      <c r="I99" s="23"/>
      <c r="J99" s="6"/>
    </row>
    <row r="100" spans="7:10" ht="13.5">
      <c r="G100" s="2"/>
      <c r="H100" s="83"/>
      <c r="I100" s="23"/>
      <c r="J100" s="6"/>
    </row>
    <row r="101" spans="7:10" ht="13.5">
      <c r="G101" s="2"/>
      <c r="H101" s="83"/>
      <c r="I101" s="23"/>
      <c r="J101" s="6"/>
    </row>
    <row r="102" spans="7:10" ht="13.5">
      <c r="G102" s="2"/>
      <c r="H102" s="83"/>
      <c r="I102" s="23"/>
      <c r="J102" s="6"/>
    </row>
  </sheetData>
  <sortState xmlns:xlrd2="http://schemas.microsoft.com/office/spreadsheetml/2017/richdata2" ref="G3:J14">
    <sortCondition descending="1" ref="G3"/>
  </sortState>
  <mergeCells count="1">
    <mergeCell ref="B1:C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6" r:id="rId3" name="Button 2">
              <controlPr defaultSize="0" print="0" autoFill="0" autoPict="0" macro="[0]!X軸へ">
                <anchor>
                  <from>
                    <xdr:col>9</xdr:col>
                    <xdr:colOff>819150</xdr:colOff>
                    <xdr:row>0</xdr:row>
                    <xdr:rowOff>19050</xdr:rowOff>
                  </from>
                  <to>
                    <xdr:col>9</xdr:col>
                    <xdr:colOff>1485900</xdr:colOff>
                    <xdr:row>0</xdr:row>
                    <xdr:rowOff>342900</xdr:rowOff>
                  </to>
                </anchor>
              </controlPr>
            </control>
          </mc:Choice>
        </mc:AlternateContent>
        <mc:AlternateContent xmlns:mc="http://schemas.openxmlformats.org/markup-compatibility/2006">
          <mc:Choice Requires="x14">
            <control shapeId="72715" r:id="rId4" name="Button 11">
              <controlPr defaultSize="0" print="0" autoFill="0" autoPict="0" macro="[0]!手順書へ">
                <anchor>
                  <from>
                    <xdr:col>9</xdr:col>
                    <xdr:colOff>1504950</xdr:colOff>
                    <xdr:row>0</xdr:row>
                    <xdr:rowOff>19050</xdr:rowOff>
                  </from>
                  <to>
                    <xdr:col>10</xdr:col>
                    <xdr:colOff>209550</xdr:colOff>
                    <xdr:row>0</xdr:row>
                    <xdr:rowOff>342900</xdr:rowOff>
                  </to>
                </anchor>
              </controlPr>
            </control>
          </mc:Choice>
        </mc:AlternateContent>
        <mc:AlternateContent xmlns:mc="http://schemas.openxmlformats.org/markup-compatibility/2006">
          <mc:Choice Requires="x14">
            <control shapeId="72717" r:id="rId5" name="Button 13">
              <controlPr defaultSize="0" print="0" autoFill="0" autoPict="0" macro="[0]!Rotoへ">
                <anchor>
                  <from>
                    <xdr:col>8</xdr:col>
                    <xdr:colOff>609600</xdr:colOff>
                    <xdr:row>0</xdr:row>
                    <xdr:rowOff>19050</xdr:rowOff>
                  </from>
                  <to>
                    <xdr:col>8</xdr:col>
                    <xdr:colOff>1657350</xdr:colOff>
                    <xdr:row>0</xdr:row>
                    <xdr:rowOff>342900</xdr:rowOff>
                  </to>
                </anchor>
              </controlPr>
            </control>
          </mc:Choice>
        </mc:AlternateContent>
        <mc:AlternateContent xmlns:mc="http://schemas.openxmlformats.org/markup-compatibility/2006">
          <mc:Choice Requires="x14">
            <control shapeId="72718" r:id="rId6" name="Button 14">
              <controlPr defaultSize="0" print="0" autoFill="0" autoPict="0" macro="[0]!Rotoグラフ回転後">
                <anchor>
                  <from>
                    <xdr:col>4</xdr:col>
                    <xdr:colOff>2009775</xdr:colOff>
                    <xdr:row>0</xdr:row>
                    <xdr:rowOff>19050</xdr:rowOff>
                  </from>
                  <to>
                    <xdr:col>8</xdr:col>
                    <xdr:colOff>600075</xdr:colOff>
                    <xdr:row>0</xdr:row>
                    <xdr:rowOff>342900</xdr:rowOff>
                  </to>
                </anchor>
              </controlPr>
            </control>
          </mc:Choice>
        </mc:AlternateContent>
        <mc:AlternateContent xmlns:mc="http://schemas.openxmlformats.org/markup-compatibility/2006">
          <mc:Choice Requires="x14">
            <control shapeId="72719" r:id="rId7" name="Button 15">
              <controlPr defaultSize="0" print="0" autoFill="0" autoPict="0" macro="[0]!Rotocへ">
                <anchor>
                  <from>
                    <xdr:col>8</xdr:col>
                    <xdr:colOff>1666875</xdr:colOff>
                    <xdr:row>0</xdr:row>
                    <xdr:rowOff>19050</xdr:rowOff>
                  </from>
                  <to>
                    <xdr:col>9</xdr:col>
                    <xdr:colOff>800100</xdr:colOff>
                    <xdr:row>0</xdr:row>
                    <xdr:rowOff>342900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749992370372631"/>
  </sheetPr>
  <dimension ref="A1:W17"/>
  <sheetViews>
    <sheetView zoomScale="120" zoomScaleNormal="120" workbookViewId="0">
      <selection activeCell="A4" sqref="A4:D10"/>
    </sheetView>
  </sheetViews>
  <sheetFormatPr defaultColWidth="9.140625" defaultRowHeight="12"/>
  <cols>
    <col min="1" max="1" width="7.42578125" style="1" customWidth="1"/>
    <col min="2" max="2" width="19.140625" style="82" customWidth="1"/>
    <col min="3" max="7" width="10.5703125" style="5" bestFit="1" customWidth="1"/>
    <col min="8" max="8" width="7.5703125" style="5" bestFit="1" customWidth="1"/>
    <col min="9" max="23" width="9.140625" style="5"/>
    <col min="24" max="16384" width="9.140625" style="3"/>
  </cols>
  <sheetData>
    <row r="1" spans="1:10">
      <c r="A1" s="156" t="s">
        <v>60</v>
      </c>
      <c r="B1" s="156"/>
      <c r="C1" s="3"/>
      <c r="D1" s="3"/>
      <c r="E1" s="3"/>
    </row>
    <row r="3" spans="1:10">
      <c r="A3" s="1" t="s">
        <v>2</v>
      </c>
      <c r="B3" s="82" t="s">
        <v>0</v>
      </c>
      <c r="C3" s="1" t="s">
        <v>61</v>
      </c>
      <c r="D3" s="5" t="s">
        <v>62</v>
      </c>
      <c r="E3" s="5" t="s">
        <v>63</v>
      </c>
      <c r="F3" s="5" t="s">
        <v>64</v>
      </c>
      <c r="G3" s="5" t="s">
        <v>57</v>
      </c>
      <c r="H3" s="5" t="s">
        <v>143</v>
      </c>
      <c r="I3" s="5" t="s">
        <v>144</v>
      </c>
      <c r="J3" s="5" t="s">
        <v>65</v>
      </c>
    </row>
    <row r="4" spans="1:10">
      <c r="A4" s="77">
        <v>1</v>
      </c>
      <c r="B4" s="78" t="s">
        <v>148</v>
      </c>
      <c r="C4" s="5">
        <v>-0.92836320124254057</v>
      </c>
      <c r="D4" s="5">
        <v>0.15351013962073173</v>
      </c>
      <c r="E4" s="5">
        <v>4.7670355726178629E-2</v>
      </c>
      <c r="F4" s="5">
        <v>-0.11026869869836509</v>
      </c>
      <c r="G4" s="5">
        <v>-0.2297047604510033</v>
      </c>
      <c r="H4" s="5">
        <v>0.19290783523014118</v>
      </c>
      <c r="I4" s="5">
        <v>-0.10083177209603683</v>
      </c>
      <c r="J4" s="5">
        <v>1.000000001246425</v>
      </c>
    </row>
    <row r="5" spans="1:10">
      <c r="A5" s="4">
        <v>2</v>
      </c>
      <c r="B5" s="78" t="s">
        <v>149</v>
      </c>
      <c r="C5" s="5">
        <v>-0.92944101008761582</v>
      </c>
      <c r="D5" s="5">
        <v>-0.12880757911074303</v>
      </c>
      <c r="E5" s="5">
        <v>-8.3211044753752378E-2</v>
      </c>
      <c r="F5" s="5">
        <v>7.2760257916125198E-2</v>
      </c>
      <c r="G5" s="5">
        <v>-0.21368974669190399</v>
      </c>
      <c r="H5" s="5">
        <v>-0.24251193787799713</v>
      </c>
      <c r="I5" s="5">
        <v>-5.3427864702854995E-2</v>
      </c>
      <c r="J5" s="5">
        <v>1.0000000013513881</v>
      </c>
    </row>
    <row r="6" spans="1:10">
      <c r="A6" s="77">
        <v>3</v>
      </c>
      <c r="B6" s="78" t="s">
        <v>150</v>
      </c>
      <c r="C6" s="5">
        <v>-0.71964075121776527</v>
      </c>
      <c r="D6" s="5">
        <v>0.33125433332736354</v>
      </c>
      <c r="E6" s="5">
        <v>0.41060106247419237</v>
      </c>
      <c r="F6" s="5">
        <v>-0.43752697749599856</v>
      </c>
      <c r="G6" s="5">
        <v>-7.1838127085408288E-3</v>
      </c>
      <c r="H6" s="5">
        <v>-3.0424382041021259E-2</v>
      </c>
      <c r="I6" s="5">
        <v>0.10671182650041379</v>
      </c>
      <c r="J6" s="5">
        <v>0.99999999680580909</v>
      </c>
    </row>
    <row r="7" spans="1:10">
      <c r="A7" s="77">
        <v>4</v>
      </c>
      <c r="B7" s="78" t="s">
        <v>151</v>
      </c>
      <c r="C7" s="5">
        <v>-0.76407068899315655</v>
      </c>
      <c r="D7" s="5">
        <v>-0.46442314752572661</v>
      </c>
      <c r="E7" s="5">
        <v>-0.17748957138381141</v>
      </c>
      <c r="F7" s="5">
        <v>0.36637614848295885</v>
      </c>
      <c r="G7" s="5">
        <v>-0.11773963143659509</v>
      </c>
      <c r="H7" s="5">
        <v>8.6639137291060139E-2</v>
      </c>
      <c r="I7" s="5">
        <v>0.11577620469615756</v>
      </c>
      <c r="J7" s="5">
        <v>0.99999999835860709</v>
      </c>
    </row>
    <row r="8" spans="1:10">
      <c r="A8" s="77">
        <v>5</v>
      </c>
      <c r="B8" s="78" t="s">
        <v>152</v>
      </c>
      <c r="C8" s="5">
        <v>-0.58500530139674267</v>
      </c>
      <c r="D8" s="5">
        <v>-0.55289329377996543</v>
      </c>
      <c r="E8" s="5">
        <v>-0.17579335627950668</v>
      </c>
      <c r="F8" s="5">
        <v>-0.3165217202489457</v>
      </c>
      <c r="G8" s="5">
        <v>0.46896557819418605</v>
      </c>
      <c r="H8" s="5">
        <v>1.0682948327223891E-2</v>
      </c>
      <c r="I8" s="5">
        <v>-3.0751387232319783E-2</v>
      </c>
      <c r="J8" s="5">
        <v>0.9999999872031996</v>
      </c>
    </row>
    <row r="9" spans="1:10">
      <c r="A9" s="77">
        <v>6</v>
      </c>
      <c r="B9" s="78" t="s">
        <v>153</v>
      </c>
      <c r="C9" s="5">
        <v>-0.23796401564605993</v>
      </c>
      <c r="D9" s="5">
        <v>0.61969678774390125</v>
      </c>
      <c r="E9" s="5">
        <v>-0.73848460077107281</v>
      </c>
      <c r="F9" s="5">
        <v>-9.8122726357057891E-2</v>
      </c>
      <c r="G9" s="5">
        <v>5.8129560525549753E-2</v>
      </c>
      <c r="H9" s="5">
        <v>-2.7385447533824891E-3</v>
      </c>
      <c r="I9" s="5">
        <v>3.1223222296149513E-2</v>
      </c>
      <c r="J9" s="5">
        <v>0.99999999153107544</v>
      </c>
    </row>
    <row r="10" spans="1:10">
      <c r="A10" s="77">
        <v>7</v>
      </c>
      <c r="B10" s="78" t="s">
        <v>154</v>
      </c>
      <c r="C10" s="5">
        <v>-0.57461357435504989</v>
      </c>
      <c r="D10" s="5">
        <v>0.46927859475786127</v>
      </c>
      <c r="E10" s="5">
        <v>0.26415401363098995</v>
      </c>
      <c r="F10" s="5">
        <v>0.48412459403702901</v>
      </c>
      <c r="G10" s="5">
        <v>0.3807994505357527</v>
      </c>
      <c r="H10" s="5">
        <v>-6.2471573861943921E-3</v>
      </c>
      <c r="I10" s="5">
        <v>-1.9890074868350729E-2</v>
      </c>
      <c r="J10" s="5">
        <v>0.99999998838188653</v>
      </c>
    </row>
    <row r="11" spans="1:10">
      <c r="A11" s="4"/>
      <c r="B11" s="79"/>
    </row>
    <row r="12" spans="1:10">
      <c r="A12" s="4"/>
      <c r="B12" s="79"/>
    </row>
    <row r="13" spans="1:10">
      <c r="A13" s="4"/>
      <c r="B13" s="79"/>
    </row>
    <row r="14" spans="1:10">
      <c r="A14" s="4"/>
      <c r="B14" s="79"/>
    </row>
    <row r="15" spans="1:10">
      <c r="A15" s="4"/>
      <c r="B15" s="79"/>
    </row>
    <row r="16" spans="1:10">
      <c r="B16" s="79"/>
    </row>
    <row r="17" spans="2:2">
      <c r="B17" s="79"/>
    </row>
  </sheetData>
  <mergeCells count="1">
    <mergeCell ref="A1:B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Fill="0" autoPict="0" macro="[0]!手順書へ">
                <anchor moveWithCells="1" sizeWithCells="1">
                  <from>
                    <xdr:col>3</xdr:col>
                    <xdr:colOff>19050</xdr:colOff>
                    <xdr:row>0</xdr:row>
                    <xdr:rowOff>19050</xdr:rowOff>
                  </from>
                  <to>
                    <xdr:col>4</xdr:col>
                    <xdr:colOff>666750</xdr:colOff>
                    <xdr:row>1</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theme="2" tint="-0.89999084444715716"/>
  </sheetPr>
  <dimension ref="A1:R15"/>
  <sheetViews>
    <sheetView topLeftCell="D1" zoomScale="110" zoomScaleNormal="110" workbookViewId="0">
      <selection activeCell="A4" sqref="A4:D15"/>
    </sheetView>
  </sheetViews>
  <sheetFormatPr defaultColWidth="9.140625" defaultRowHeight="12"/>
  <cols>
    <col min="1" max="1" width="5.7109375" style="1" bestFit="1" customWidth="1"/>
    <col min="2" max="2" width="15.85546875" style="83" customWidth="1"/>
    <col min="3" max="7" width="10.5703125" style="5" bestFit="1" customWidth="1"/>
    <col min="8" max="18" width="9.140625" style="5"/>
    <col min="19" max="16384" width="9.140625" style="3"/>
  </cols>
  <sheetData>
    <row r="1" spans="1:10">
      <c r="A1" s="156" t="s">
        <v>73</v>
      </c>
      <c r="B1" s="156"/>
      <c r="C1" s="3"/>
      <c r="D1" s="3"/>
      <c r="E1" s="3"/>
    </row>
    <row r="3" spans="1:10">
      <c r="A3" s="1" t="s">
        <v>2</v>
      </c>
      <c r="B3" s="83" t="s">
        <v>3</v>
      </c>
      <c r="C3" s="5" t="s">
        <v>61</v>
      </c>
      <c r="D3" s="5" t="s">
        <v>62</v>
      </c>
      <c r="E3" s="5" t="s">
        <v>63</v>
      </c>
      <c r="F3" s="5" t="s">
        <v>64</v>
      </c>
      <c r="G3" s="5" t="s">
        <v>57</v>
      </c>
      <c r="H3" s="5" t="s">
        <v>143</v>
      </c>
      <c r="I3" s="5" t="s">
        <v>144</v>
      </c>
      <c r="J3" s="5" t="s">
        <v>145</v>
      </c>
    </row>
    <row r="4" spans="1:10">
      <c r="A4" s="1">
        <v>1</v>
      </c>
      <c r="B4" s="83" t="s">
        <v>155</v>
      </c>
      <c r="C4" s="5">
        <v>-2.3403888190759914</v>
      </c>
      <c r="D4" s="5">
        <v>-0.69718392805622997</v>
      </c>
      <c r="E4" s="5">
        <v>-0.38907809057500614</v>
      </c>
      <c r="F4" s="5">
        <v>0.21546657713522946</v>
      </c>
      <c r="G4" s="5">
        <v>-0.95440916310525425</v>
      </c>
      <c r="H4" s="5">
        <v>0.43343141130469998</v>
      </c>
      <c r="I4" s="5">
        <v>0.31204141294427101</v>
      </c>
    </row>
    <row r="5" spans="1:10">
      <c r="A5" s="1">
        <v>2</v>
      </c>
      <c r="B5" s="83" t="s">
        <v>156</v>
      </c>
      <c r="C5" s="5">
        <v>-2.8211805303693684</v>
      </c>
      <c r="D5" s="5">
        <v>4.9256654815016301E-2</v>
      </c>
      <c r="E5" s="5">
        <v>-0.50626532480994113</v>
      </c>
      <c r="F5" s="5">
        <v>-1.4206234099241162</v>
      </c>
      <c r="G5" s="5">
        <v>0.51450753343220623</v>
      </c>
      <c r="H5" s="5">
        <v>-0.3165841403902469</v>
      </c>
      <c r="I5" s="5">
        <v>-2.5719337743105704E-2</v>
      </c>
    </row>
    <row r="6" spans="1:10">
      <c r="A6" s="1">
        <v>3</v>
      </c>
      <c r="B6" s="83" t="s">
        <v>157</v>
      </c>
      <c r="C6" s="5">
        <v>-0.72922337228700795</v>
      </c>
      <c r="D6" s="5">
        <v>0.40603342044319168</v>
      </c>
      <c r="E6" s="5">
        <v>-1.3670735851130866</v>
      </c>
      <c r="F6" s="5">
        <v>0.10668076934449873</v>
      </c>
      <c r="G6" s="5">
        <v>2.7119794067974452E-2</v>
      </c>
      <c r="H6" s="5">
        <v>0.57925947356101193</v>
      </c>
      <c r="I6" s="5">
        <v>-0.23334506157972276</v>
      </c>
    </row>
    <row r="7" spans="1:10">
      <c r="A7" s="1">
        <v>4</v>
      </c>
      <c r="B7" s="83" t="s">
        <v>158</v>
      </c>
      <c r="C7" s="5">
        <v>0.51733995845864966</v>
      </c>
      <c r="D7" s="5">
        <v>1.3542590482775674</v>
      </c>
      <c r="E7" s="5">
        <v>0.31873386302790757</v>
      </c>
      <c r="F7" s="5">
        <v>-0.35162718303639184</v>
      </c>
      <c r="G7" s="5">
        <v>-0.34135812414720218</v>
      </c>
      <c r="H7" s="5">
        <v>0.22731005577160057</v>
      </c>
      <c r="I7" s="5">
        <v>9.3530672314437999E-2</v>
      </c>
    </row>
    <row r="8" spans="1:10">
      <c r="A8" s="1">
        <v>5</v>
      </c>
      <c r="B8" s="83" t="s">
        <v>159</v>
      </c>
      <c r="C8" s="5">
        <v>-0.11208507604961659</v>
      </c>
      <c r="D8" s="5">
        <v>0.37942539717939494</v>
      </c>
      <c r="E8" s="5">
        <v>1.5603492929200826</v>
      </c>
      <c r="F8" s="5">
        <v>1.3904989815844007</v>
      </c>
      <c r="G8" s="5">
        <v>0.24088709548315052</v>
      </c>
      <c r="H8" s="5">
        <v>0.17811279269414595</v>
      </c>
      <c r="I8" s="5">
        <v>-0.16924623970189442</v>
      </c>
    </row>
    <row r="9" spans="1:10">
      <c r="A9" s="1">
        <v>6</v>
      </c>
      <c r="B9" s="83" t="s">
        <v>160</v>
      </c>
      <c r="C9" s="5">
        <v>5.2106385050179869</v>
      </c>
      <c r="D9" s="5">
        <v>-0.26938842994307127</v>
      </c>
      <c r="E9" s="5">
        <v>-0.30809890901468551</v>
      </c>
      <c r="F9" s="5">
        <v>-0.82416446550805778</v>
      </c>
      <c r="G9" s="5">
        <v>-0.18151216749691532</v>
      </c>
      <c r="H9" s="5">
        <v>9.6872565701887278E-2</v>
      </c>
      <c r="I9" s="5">
        <v>0.13406467216213006</v>
      </c>
    </row>
    <row r="10" spans="1:10">
      <c r="A10" s="1">
        <v>7</v>
      </c>
      <c r="B10" s="83" t="s">
        <v>161</v>
      </c>
      <c r="C10" s="5">
        <v>-0.61484786694485416</v>
      </c>
      <c r="D10" s="5">
        <v>1.8767057215569853</v>
      </c>
      <c r="E10" s="5">
        <v>1.5389662230831374</v>
      </c>
      <c r="F10" s="5">
        <v>-0.81242379464154302</v>
      </c>
      <c r="G10" s="5">
        <v>-0.36225035408761869</v>
      </c>
      <c r="H10" s="5">
        <v>-0.1674242038130121</v>
      </c>
      <c r="I10" s="5">
        <v>1.7166016642052945E-2</v>
      </c>
    </row>
    <row r="11" spans="1:10">
      <c r="A11" s="1">
        <v>8</v>
      </c>
      <c r="B11" s="83" t="s">
        <v>162</v>
      </c>
      <c r="C11" s="5">
        <v>0.46613342220067933</v>
      </c>
      <c r="D11" s="5">
        <v>-1.5828611902493677</v>
      </c>
      <c r="E11" s="5">
        <v>0.29687672482734562</v>
      </c>
      <c r="F11" s="5">
        <v>0.29380027405238318</v>
      </c>
      <c r="G11" s="5">
        <v>-1.0708490160685835</v>
      </c>
      <c r="H11" s="5">
        <v>-0.26030318801078489</v>
      </c>
      <c r="I11" s="5">
        <v>-0.33455615904700037</v>
      </c>
    </row>
    <row r="12" spans="1:10">
      <c r="A12" s="1">
        <v>9</v>
      </c>
      <c r="B12" s="83" t="s">
        <v>163</v>
      </c>
      <c r="C12" s="5">
        <v>-0.58190935887534589</v>
      </c>
      <c r="D12" s="5">
        <v>-2.1542983612536513</v>
      </c>
      <c r="E12" s="5">
        <v>0.57072290560455474</v>
      </c>
      <c r="F12" s="5">
        <v>-0.22141808726877202</v>
      </c>
      <c r="G12" s="5">
        <v>6.0044339461322968E-2</v>
      </c>
      <c r="H12" s="5">
        <v>-0.21974574937342342</v>
      </c>
      <c r="I12" s="5">
        <v>0.16361374601063677</v>
      </c>
    </row>
    <row r="13" spans="1:10">
      <c r="A13" s="1">
        <v>10</v>
      </c>
      <c r="B13" s="83" t="s">
        <v>164</v>
      </c>
      <c r="C13" s="5">
        <v>0.37657329499046527</v>
      </c>
      <c r="D13" s="5">
        <v>0.91008205084194982</v>
      </c>
      <c r="E13" s="5">
        <v>-1.4280379353497956</v>
      </c>
      <c r="F13" s="5">
        <v>0.28950644246573687</v>
      </c>
      <c r="G13" s="5">
        <v>-0.12603054518813994</v>
      </c>
      <c r="H13" s="5">
        <v>-0.41951744605069413</v>
      </c>
      <c r="I13" s="5">
        <v>-0.18734767620445841</v>
      </c>
    </row>
    <row r="14" spans="1:10">
      <c r="A14" s="1">
        <v>11</v>
      </c>
      <c r="B14" s="83" t="s">
        <v>165</v>
      </c>
      <c r="C14" s="5">
        <v>0.36241953622406003</v>
      </c>
      <c r="D14" s="5">
        <v>-0.86694599804515837</v>
      </c>
      <c r="E14" s="5">
        <v>0.35315429126780334</v>
      </c>
      <c r="F14" s="5">
        <v>-0.24551865858214517</v>
      </c>
      <c r="G14" s="5">
        <v>1.6800730394152457</v>
      </c>
      <c r="H14" s="5">
        <v>0.25856479725035114</v>
      </c>
      <c r="I14" s="5">
        <v>-7.6424951907471797E-2</v>
      </c>
    </row>
    <row r="15" spans="1:10">
      <c r="A15" s="1">
        <v>12</v>
      </c>
      <c r="B15" s="83" t="s">
        <v>166</v>
      </c>
      <c r="C15" s="5">
        <v>0.26653030671034872</v>
      </c>
      <c r="D15" s="5">
        <v>0.59491561443336094</v>
      </c>
      <c r="E15" s="5">
        <v>-0.64024945586831938</v>
      </c>
      <c r="F15" s="5">
        <v>1.5798225543787807</v>
      </c>
      <c r="G15" s="5">
        <v>0.51377756823381449</v>
      </c>
      <c r="H15" s="5">
        <v>-0.38997636864553392</v>
      </c>
      <c r="I15" s="5">
        <v>0.3062229061101272</v>
      </c>
    </row>
  </sheetData>
  <mergeCells count="1">
    <mergeCell ref="A1:B1"/>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手順書へ">
                <anchor moveWithCells="1" sizeWithCells="1">
                  <from>
                    <xdr:col>3</xdr:col>
                    <xdr:colOff>19050</xdr:colOff>
                    <xdr:row>0</xdr:row>
                    <xdr:rowOff>19050</xdr:rowOff>
                  </from>
                  <to>
                    <xdr:col>4</xdr:col>
                    <xdr:colOff>704850</xdr:colOff>
                    <xdr:row>1</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手順書</vt:lpstr>
      <vt:lpstr>Sheet1</vt:lpstr>
      <vt:lpstr>データ</vt:lpstr>
      <vt:lpstr>データ２</vt:lpstr>
      <vt:lpstr>データ (2)</vt:lpstr>
      <vt:lpstr>元データ</vt:lpstr>
      <vt:lpstr>Igen</vt:lpstr>
      <vt:lpstr>Roto</vt:lpstr>
      <vt:lpstr>Roto_C</vt:lpstr>
      <vt:lpstr>X軸</vt:lpstr>
      <vt:lpstr>Y軸</vt:lpstr>
      <vt:lpstr>R_cat</vt:lpstr>
      <vt:lpstr>R_case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城北小学校ユーザ43</dc:creator>
  <cp:lastModifiedBy>DEVENDRA GURUNG</cp:lastModifiedBy>
  <cp:lastPrinted>2014-09-09T11:12:09Z</cp:lastPrinted>
  <dcterms:created xsi:type="dcterms:W3CDTF">2003-03-12T09:56:54Z</dcterms:created>
  <dcterms:modified xsi:type="dcterms:W3CDTF">2023-11-17T04:35:10Z</dcterms:modified>
</cp:coreProperties>
</file>